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Resumo" sheetId="2" state="visible" r:id="rId4"/>
    <sheet name="Como usar" sheetId="3" state="visible" r:id="rId5"/>
  </sheets>
  <definedNames>
    <definedName function="false" hidden="true" localSheetId="0" name="_xlnm._FilterDatabase" vbProcedure="false">Checklist!$A$1:$D$165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<sst xmlns="http://schemas.openxmlformats.org/spreadsheetml/2006/main" count="696" uniqueCount="205">
  <si>
    <t xml:space="preserve">Fase</t>
  </si>
  <si>
    <t xml:space="preserve">Descrição</t>
  </si>
  <si>
    <t xml:space="preserve">Fazer</t>
  </si>
  <si>
    <t xml:space="preserve">Feito</t>
  </si>
  <si>
    <t xml:space="preserve">00 - Alinhamento e problema</t>
  </si>
  <si>
    <t xml:space="preserve">Definir a decisão de negócio em uma frase (ex.: aprovar ou negar crédito com score de inadimplência)</t>
  </si>
  <si>
    <t xml:space="preserve">Sim</t>
  </si>
  <si>
    <t xml:space="preserve">Não</t>
  </si>
  <si>
    <t xml:space="preserve">Identificar patrocinador, usuários e quem audita o modelo</t>
  </si>
  <si>
    <t xml:space="preserve">Definir escopo: o que está dentro e fora do projeto</t>
  </si>
  <si>
    <t xml:space="preserve">Definir tipo de problema de ML (ex.: classificação binária com classe rara ~6,7%)</t>
  </si>
  <si>
    <t xml:space="preserve">Definir variável alvo e janela de observação (ex.: SeriousDlqin2yrs, atraso 90+ em 2 anos)</t>
  </si>
  <si>
    <t xml:space="preserve">Definir critérios de sucesso técnicos (AUC, KS, calibração) e de negócio (inadimplência, aprovação, R$)</t>
  </si>
  <si>
    <t xml:space="preserve">Levantar premissas financeiras (custo de aprovar mau pagador, margem de bom pagador) e registrar em arquivo único</t>
  </si>
  <si>
    <t xml:space="preserve">Levantar restrições: regulação, LGPD, prazo, plataforma, orçamento</t>
  </si>
  <si>
    <t xml:space="preserve">Inventariar fontes de dados (treino, scoring, dicionário) e defasagem do rótulo</t>
  </si>
  <si>
    <t xml:space="preserve">Registrar riscos conhecidos (viés, vazamento de dados, drift, rótulo atrasado)</t>
  </si>
  <si>
    <t xml:space="preserve">Listar questões em aberto para validar com o patrocinador</t>
  </si>
  <si>
    <t xml:space="preserve">Definir o posicionamento do projeto (ex.: demo técnica de plataforma, não política de crédito)</t>
  </si>
  <si>
    <t xml:space="preserve">Consolidar tudo em um documento de alinhamento ANTES de escrever código</t>
  </si>
  <si>
    <t xml:space="preserve">01 - Hipóteses e perguntas</t>
  </si>
  <si>
    <t xml:space="preserve">Levantar hipóteses a partir de conhecimento do domínio (uso de limite, endividamento, histórico de atraso)</t>
  </si>
  <si>
    <t xml:space="preserve">Escrever cada hipótese citando a coluna exata do dicionário de dados</t>
  </si>
  <si>
    <t xml:space="preserve">Definir o critério de erro de cada hipótese ANTES de rodar o teste</t>
  </si>
  <si>
    <t xml:space="preserve">Classificar hipóteses em camadas: confiança no modelo (H1/H2) e decisão operacional (H3/H4)</t>
  </si>
  <si>
    <t xml:space="preserve">Escolher o método estatístico justificado pela distribuição (ex.: Spearman quando há outliers)</t>
  </si>
  <si>
    <t xml:space="preserve">Separar perguntas de investigação (Q1 SHAP, Q2 threshold, Q3 viés, Q4 impacto financeiro) das hipóteses</t>
  </si>
  <si>
    <t xml:space="preserve">Congelar o enunciado das hipóteses; mudanças depois só como mudança registrada</t>
  </si>
  <si>
    <t xml:space="preserve">Definir onde cada análise roda (hipóteses e viés/ROI são análises de DEV, manuais)</t>
  </si>
  <si>
    <t xml:space="preserve">02 - Planejamento técnico e arquitetura</t>
  </si>
  <si>
    <t xml:space="preserve">Desenhar o fluxo ponta a ponta (Bronze → Silver → Gold → treino → registro → inferência → monitoramento)</t>
  </si>
  <si>
    <t xml:space="preserve">Definir arquitetura Medallion e responsabilidade de cada camada</t>
  </si>
  <si>
    <t xml:space="preserve">Definir estratégia de ambientes (dev/hml/prd) e catálogos Unity Catalog (credito_dev/hml/prd)</t>
  </si>
  <si>
    <t xml:space="preserve">Definir estratégia de Feature Store (estratégia agora, lista final de features depois)</t>
  </si>
  <si>
    <t xml:space="preserve">Definir candidatos de modelo e a regra de escolha ANTES de ver resultados (baseline interpretável vs. XGBoost)</t>
  </si>
  <si>
    <t xml:space="preserve">Definir tratamento de desbalanceamento e justificativa (class weight em vez de SMOTE)</t>
  </si>
  <si>
    <t xml:space="preserve">Definir métricas e limiares de leitura (AUC, KS, Brier, PSI, regra 4/5)</t>
  </si>
  <si>
    <t xml:space="preserve">Estimar esforço por fase e revalidar o prazo com o solicitante</t>
  </si>
  <si>
    <t xml:space="preserve">Registrar limitações da plataforma (ex.: Free Edition, um workspace para três ambientes)</t>
  </si>
  <si>
    <t xml:space="preserve">03 - Repositório e ferramentas</t>
  </si>
  <si>
    <t xml:space="preserve">Criar o repositório Git com a estrutura padrão de pastas (script de criação de estrutura)</t>
  </si>
  <si>
    <t xml:space="preserve">Configurar pyproject.toml e uv.lock (dependências travadas, sem requirements.txt)</t>
  </si>
  <si>
    <t xml:space="preserve">Separar configuração: parâmetros em .yaml; credenciais em .env fora do Git</t>
  </si>
  <si>
    <t xml:space="preserve">Configurar .gitignore (data, .venv, .temp, dist, egg-info, caches, .env)</t>
  </si>
  <si>
    <t xml:space="preserve">Configurar pre-commit (ruff, formatação 100 colunas, higiene de notebooks)</t>
  </si>
  <si>
    <t xml:space="preserve">Criar src/ no formato flat (config, ingestion, features, quality, models, ml, monitoring) com __init__.py</t>
  </si>
  <si>
    <t xml:space="preserve">Criar tests/ espelhando src/ um para um</t>
  </si>
  <si>
    <t xml:space="preserve">Criar CHANGELOG.md, README.md e LICENSE</t>
  </si>
  <si>
    <t xml:space="preserve">Definir modelo de branches (develop = HML, main = PRD)</t>
  </si>
  <si>
    <t xml:space="preserve">Configurar databricks.yml com targets dev/hml/prd e variáveis (catalog, modo_modelo, simulation_mode, alert_email)</t>
  </si>
  <si>
    <t xml:space="preserve">Excluir .venv e artefatos locais do sync do bundle (sync.exclude)</t>
  </si>
  <si>
    <t xml:space="preserve">Autenticar o Databricks CLI (databricks auth login) e validar com bundle validate</t>
  </si>
  <si>
    <t xml:space="preserve">04 - Infraestrutura por ambiente</t>
  </si>
  <si>
    <t xml:space="preserve">Criar script SQL idempotente de infraestrutura (00_infra_&lt;env&gt;.sql)</t>
  </si>
  <si>
    <t xml:space="preserve">Criar catálogo e schemas bronze, silver, gold e ml no ambiente</t>
  </si>
  <si>
    <t xml:space="preserve">Criar volumes raw_landing, checkpoints e schemas</t>
  </si>
  <si>
    <t xml:space="preserve">Separar landing em subpastas por dataset (training e scoring) para nunca misturar</t>
  </si>
  <si>
    <t xml:space="preserve">Carregar os CSVs no raw_landing (script de seed; dados não vão no Git)</t>
  </si>
  <si>
    <t xml:space="preserve">Conferir a infraestrutura (SHOW SCHEMAS / SHOW VOLUMES) antes do primeiro deploy</t>
  </si>
  <si>
    <t xml:space="preserve">Repetir para HML e PRD trocando apenas o catálogo</t>
  </si>
  <si>
    <t xml:space="preserve">05 - Ingestão Bronze</t>
  </si>
  <si>
    <t xml:space="preserve">Implementar run_bronze_ingestion em src/ingestion/bronze.py (Auto Loader, parâmetro dataset)</t>
  </si>
  <si>
    <t xml:space="preserve">Criar notebook fino 01_bronze.py (widgets catalog e dataset; sem lógica de negócio)</t>
  </si>
  <si>
    <t xml:space="preserve">Garantir que schema, volumes e checkpoints existem antes do writeStream</t>
  </si>
  <si>
    <t xml:space="preserve">Executar para training e para scoring, com tabelas Bronze separadas</t>
  </si>
  <si>
    <t xml:space="preserve">Validar contagem de linhas Bronze vs. arquivo de origem</t>
  </si>
  <si>
    <t xml:space="preserve">Criar notebook de reset (00_reset_ambiente.py) manual, fora do Job recorrente</t>
  </si>
  <si>
    <t xml:space="preserve">06 - Silver</t>
  </si>
  <si>
    <t xml:space="preserve">Implementar run_silver_ingestion em src/ingestion/silver.py</t>
  </si>
  <si>
    <t xml:space="preserve">Unificar o mapeamento de nomes de colunas em um único ponto</t>
  </si>
  <si>
    <t xml:space="preserve">Aplicar tratamentos decididos na EDA (nulos, outliers, flags de qualidade)</t>
  </si>
  <si>
    <t xml:space="preserve">Adicionar checagem pós-carga com erro explícito se processar 0 linhas</t>
  </si>
  <si>
    <t xml:space="preserve">Criar notebook fino 02_silver.py (widgets catalog e dataset)</t>
  </si>
  <si>
    <t xml:space="preserve">Validar contagens e flags (is_monthly_income_null, has_delinquency_outlier)</t>
  </si>
  <si>
    <t xml:space="preserve">07 - Gold e dicionário de dados</t>
  </si>
  <si>
    <t xml:space="preserve">Implementar src/features/gold.py (modelo estrela: dim_customer e fct_credit_profile)</t>
  </si>
  <si>
    <t xml:space="preserve">Aplicar offset de ID no scoring (ex.: +10.000.000) para evitar colisão com o treino</t>
  </si>
  <si>
    <t xml:space="preserve">Verificar sobreposição de faixa de IDs antes de qualquer join e testar unicidade da chave</t>
  </si>
  <si>
    <t xml:space="preserve">Traduzir o vocabulário de colunas somente na Gold (ex.: target_dlq_2yrs)</t>
  </si>
  <si>
    <t xml:space="preserve">Criar notebook fino 03_gold</t>
  </si>
  <si>
    <t xml:space="preserve">Criar src/config/data_dictionary.py como fonte única do dicionário de dados</t>
  </si>
  <si>
    <t xml:space="preserve">Aplicar COMMENT e tags no Unity Catalog via apply_all() ao final dos notebooks</t>
  </si>
  <si>
    <t xml:space="preserve">Gerar docs/dicionario_de_dados.md automaticamente e validar com a flag --check em CI</t>
  </si>
  <si>
    <t xml:space="preserve">08 - EDA e qualidade de dados</t>
  </si>
  <si>
    <t xml:space="preserve">Analisar a distribuição da variável alvo (desbalanceamento)</t>
  </si>
  <si>
    <t xml:space="preserve">Analisar distribuições e correlações das variáveis explicativas (incluir WOE/IV se aplicável)</t>
  </si>
  <si>
    <t xml:space="preserve">Investigar o padrão de valores ausentes (MCAR/MAR/MNAR)</t>
  </si>
  <si>
    <t xml:space="preserve">Verificar completude, duplicidade e cardinalidade (notebooks 01_eda_bronze e 02_eda_silver)</t>
  </si>
  <si>
    <t xml:space="preserve">Implementar funções de perfil em src/quality/profiling.py</t>
  </si>
  <si>
    <t xml:space="preserve">Garantir que a EDA é só diagnóstico (não altera dataframes); tratamentos ficam na Silver</t>
  </si>
  <si>
    <t xml:space="preserve">Produzir relatório curto de EDA para o negócio</t>
  </si>
  <si>
    <t xml:space="preserve">09 - Validação das hipóteses (DEV)</t>
  </si>
  <si>
    <t xml:space="preserve">Implementar src/models/hypothesis_validation.py com funções puras e testáveis</t>
  </si>
  <si>
    <t xml:space="preserve">Criar notebook 01_hipoteses_h1_h4.py</t>
  </si>
  <si>
    <t xml:space="preserve">Persistir resultado em gold.gold_hypotheses_validation (4 linhas com status, métrica e evidência)</t>
  </si>
  <si>
    <t xml:space="preserve">Registrar o status de cada hipótese (confirmada, contrariada ou inconclusiva) e o que fazer com ela</t>
  </si>
  <si>
    <t xml:space="preserve">Tratar hipótese contrariada como achado e abrir a investigação seguinte (ex.: viés por idade)</t>
  </si>
  <si>
    <t xml:space="preserve">Centralizar constantes financeiras em src/config/business_params.py (fonte única)</t>
  </si>
  <si>
    <t xml:space="preserve">10 - Modelagem e treino</t>
  </si>
  <si>
    <t xml:space="preserve">Definir split treino/teste com semente fixa e documentar a estratégia</t>
  </si>
  <si>
    <t xml:space="preserve">Treinar o baseline interpretável (regressão logística, class_weight, imputação de nulos)</t>
  </si>
  <si>
    <t xml:space="preserve">Treinar o modelo principal (XGBoost com scale_pos_weight)</t>
  </si>
  <si>
    <t xml:space="preserve">Calcular AUC-ROC, KS e recall na precisão-alvo para ambos</t>
  </si>
  <si>
    <t xml:space="preserve">Aplicar a regra de escolha do vencedor definida antes (margem de empate técnico)</t>
  </si>
  <si>
    <t xml:space="preserve">Gerar SHAP (parametrizado; desligado em pipeline quando não necessário)</t>
  </si>
  <si>
    <t xml:space="preserve">Logar modelo no MLflow com assinatura, input_example, métricas e tag algoritmo</t>
  </si>
  <si>
    <t xml:space="preserve">Registrar no Unity Catalog ({catalog}.gold.credito_risco_xgb) com aliases champion e challenger</t>
  </si>
  <si>
    <t xml:space="preserve">Garantir que treino roda só em DEV/HML (modo_modelo = treinar); nunca em PRD</t>
  </si>
  <si>
    <t xml:space="preserve">Validar reprodutibilidade: recalcular a métrica do @champion e travar se divergir da registrada</t>
  </si>
  <si>
    <t xml:space="preserve">Criar notebook fino 04_treino_mlflow.py</t>
  </si>
  <si>
    <t xml:space="preserve">11 - Viés, calibração, threshold e ROI</t>
  </si>
  <si>
    <t xml:space="preserve">Implementar src/models/bias_roi_validation.py (Q1 a Q4) com funções puras</t>
  </si>
  <si>
    <t xml:space="preserve">Criar notebook 02_vies_threshold_roi.py carregando o @champion do Registry</t>
  </si>
  <si>
    <t xml:space="preserve">Rodar duas vezes e confirmar que a segunda carrega do Registry (não retreina)</t>
  </si>
  <si>
    <t xml:space="preserve">Medir viés por faixa de idade e renda (FPR/FNR, regra 4/5, IC de Wilson)</t>
  </si>
  <si>
    <t xml:space="preserve">Medir calibração (Brier, curva de confiabilidade) e aplicar calibração isotônica se necessário</t>
  </si>
  <si>
    <t xml:space="preserve">Comparar com a regressão logística na mesma taxa de aprovação</t>
  </si>
  <si>
    <t xml:space="preserve">Rodar experimento sem a variável sensível (ex.: idade) para separar viés da variável vs. proxies</t>
  </si>
  <si>
    <t xml:space="preserve">Definir o threshold operacional por piso de aprovação (H3) e por custo esperado (Q2)</t>
  </si>
  <si>
    <t xml:space="preserve">Calcular impacto financeiro e ponto de equilíbrio (Q4 / H4)</t>
  </si>
  <si>
    <t xml:space="preserve">Registrar a decisão sobre o viés encontrado em um ADR</t>
  </si>
  <si>
    <t xml:space="preserve">12 - Inferência batch</t>
  </si>
  <si>
    <t xml:space="preserve">Implementar src/ml/decisao.py (classificar_decisao: probabilidade + threshold = aprovado/negado)</t>
  </si>
  <si>
    <t xml:space="preserve">Criar notebook 03_inferencia_batch.py carregando o @champion pelo flavor nativo conforme a tag algoritmo</t>
  </si>
  <si>
    <t xml:space="preserve">Parametrizar threshold_aprovacao e alinhar o default ao valor oficial (ex.: 0,45)</t>
  </si>
  <si>
    <t xml:space="preserve">Executar com run_if AT_LEAST_ONE_SUCCESS (roda se treinou ou promoveu)</t>
  </si>
  <si>
    <t xml:space="preserve">Gravar as predições na camada ml (histórico de inferência)</t>
  </si>
  <si>
    <t xml:space="preserve">Validar: toda a base de scoring pontuada e probabilidades em [0,1]</t>
  </si>
  <si>
    <t xml:space="preserve">13 - Monitoramento</t>
  </si>
  <si>
    <t xml:space="preserve">Implementar src/monitoring/data_drift.py (PSI/KS, tratar NaN e inflação de zeros)</t>
  </si>
  <si>
    <t xml:space="preserve">Criar notebook 01_drift_dados.py (lote atual vs. distribuição de treino)</t>
  </si>
  <si>
    <t xml:space="preserve">Definir limiares de PSI (estável, moderado, severo) e a ação para cada um</t>
  </si>
  <si>
    <t xml:space="preserve">Implementar src/monitoring/concept_drift.py (queda de AUC e lote sintético)</t>
  </si>
  <si>
    <t xml:space="preserve">Criar notebook 02_concept_drift.py com simulation_mode parametrizado</t>
  </si>
  <si>
    <t xml:space="preserve">Documentar a limitação: sem desfecho real o concept drift é simulado</t>
  </si>
  <si>
    <t xml:space="preserve">Definir proxies antecipados para produção real (PSI de features, distribuição do score, atrasos precoces)</t>
  </si>
  <si>
    <t xml:space="preserve">Testar os notebooks de monitoramento em DEV e depois em HML</t>
  </si>
  <si>
    <t xml:space="preserve">Configurar alerta de falha por e-mail em PRD</t>
  </si>
  <si>
    <t xml:space="preserve">14 - Testes e qualidade de código</t>
  </si>
  <si>
    <t xml:space="preserve">Escrever testes unitários das funções puras (decisao, PSI, calibração, hipóteses, dicionário)</t>
  </si>
  <si>
    <t xml:space="preserve">Transformar cada bug encontrado em um teste que o reproduz antes da correção</t>
  </si>
  <si>
    <t xml:space="preserve">Rodar pytest sem cluster (Spark simulado quando necessário)</t>
  </si>
  <si>
    <t xml:space="preserve">Rodar pre-commit run --all-files e deixar todos os hooks em Passed</t>
  </si>
  <si>
    <t xml:space="preserve">Criar check_notebook_hygiene.py para bloquear %uv sync e %pip install nos notebooks</t>
  </si>
  <si>
    <t xml:space="preserve">Garantir que notebooks não têm lógica de negócio (só widgets, chamadas a src/ e display)</t>
  </si>
  <si>
    <t xml:space="preserve">Garantir o padrão de import (_find_repo_root e sys.path.insert(0, repo_root))</t>
  </si>
  <si>
    <t xml:space="preserve">15 - Orquestração, CI/CD e HML</t>
  </si>
  <si>
    <t xml:space="preserve">Criar resources/risco_credito_pipeline.yml com o DAG completo (um job para todos os ambientes)</t>
  </si>
  <si>
    <t xml:space="preserve">Criar a task decidir_modelo (condition_task) lendo modo_modelo</t>
  </si>
  <si>
    <t xml:space="preserve">Parametrizar catalog e simulation_mode por variável do bundle</t>
  </si>
  <si>
    <t xml:space="preserve">Criar o ci.yaml com detect-changes (filtros de paths), qualidade e deploy-hml</t>
  </si>
  <si>
    <t xml:space="preserve">Incluir .github/workflows/** e scripts/** nos filtros de mudança relevante</t>
  </si>
  <si>
    <t xml:space="preserve">Configurar environments hml e prd no GitHub, com concurrency para evitar execuções simultâneas</t>
  </si>
  <si>
    <t xml:space="preserve">Criar check_hml_gate.py validando o @champion (AUC-ROC mínimo, ex.: 0,80)</t>
  </si>
  <si>
    <t xml:space="preserve">Criar check_preflight.py com as verificações pré-deploy</t>
  </si>
  <si>
    <t xml:space="preserve">Executar databricks bundle validate -t hml</t>
  </si>
  <si>
    <t xml:space="preserve">Fazer deploy e rodar o pipeline em HML (bundle deploy e bundle run -t hml)</t>
  </si>
  <si>
    <t xml:space="preserve">Conferir tabelas e modelo gerados em HML (Bronze, Silver, Gold, champion, inferência, drift)</t>
  </si>
  <si>
    <t xml:space="preserve">Testar a mudança de CI por simulação dos cenários antes de entregar</t>
  </si>
  <si>
    <t xml:space="preserve">16 - Promoção para produção (PRD)</t>
  </si>
  <si>
    <t xml:space="preserve">Criar a base produtiva: catálogo credito_prd, schemas e volumes pelo SQL de infraestrutura</t>
  </si>
  <si>
    <t xml:space="preserve">Criar o notebook 05_promover_modelo.py (copia o champion de HML para PRD, sem retreinar)</t>
  </si>
  <si>
    <t xml:space="preserve">Copiar as tags do modelo na promoção (a inferência depende da tag algoritmo) e gravar tags de linhagem</t>
  </si>
  <si>
    <t xml:space="preserve">Garantir idempotência da promoção e falha explícita se não houver champion em HML</t>
  </si>
  <si>
    <t xml:space="preserve">Configurar o target prd (mode production, modo_modelo = promover, catalogo_origem_modelo = credito_hml)</t>
  </si>
  <si>
    <t xml:space="preserve">Configurar agendamento (cron) e alerta de falha somente em PRD</t>
  </si>
  <si>
    <t xml:space="preserve">Configurar o environment prd com required reviewers (aprovação manual)</t>
  </si>
  <si>
    <t xml:space="preserve">Encadear deploy-prd depois de deploy-hml do mesmo commit (needs)</t>
  </si>
  <si>
    <t xml:space="preserve">Criar check_prd_model.py (smoke test: alias champion e tags de linhagem) com tracking_uri databricks</t>
  </si>
  <si>
    <t xml:space="preserve">Copiar os dados brutos de HML para PRD (ou conectar à fonte produtiva real)</t>
  </si>
  <si>
    <t xml:space="preserve">Abrir PR develop → main, mesclar e aprovar o deploy de PRD</t>
  </si>
  <si>
    <t xml:space="preserve">Observar a primeira execução agendada em PRD (inferência, drift de dados, concept drift)</t>
  </si>
  <si>
    <t xml:space="preserve">Definir e testar o rollback (reapontar o alias champion; git revert do código)</t>
  </si>
  <si>
    <t xml:space="preserve">17 - Governança e documentação</t>
  </si>
  <si>
    <t xml:space="preserve">Criar model card da versão promovida (finalidade, dados, métricas, limitações, viés)</t>
  </si>
  <si>
    <t xml:space="preserve">Registrar ADRs das decisões (escolha do modelo, threshold, promoção, tratamento do viés)</t>
  </si>
  <si>
    <t xml:space="preserve">Escrever o runbook de incidentes (falha de task, drift severo, ausência de champion)</t>
  </si>
  <si>
    <t xml:space="preserve">Documentar o fluxo dev → hml → prd e o checklist de promoção no README</t>
  </si>
  <si>
    <t xml:space="preserve">Registrar o que seria diferente em ambiente corporativo (service principal, workspaces separados)</t>
  </si>
  <si>
    <t xml:space="preserve">Gerar a documentação técnica por fase e por programa</t>
  </si>
  <si>
    <t xml:space="preserve">Atualizar o CHANGELOG a cada promoção</t>
  </si>
  <si>
    <t xml:space="preserve">Escrever o guia COMO_EXECUTAR com a ordem de execução de ponta a ponta</t>
  </si>
  <si>
    <t xml:space="preserve">18 - Divulgação e encerramento</t>
  </si>
  <si>
    <t xml:space="preserve">Atualizar o README com resultados, gráficos e notas metodológicas</t>
  </si>
  <si>
    <t xml:space="preserve">Publicar o projeto no portfólio (cartão e texto do modal)</t>
  </si>
  <si>
    <t xml:space="preserve">Preparar o post e o carrossel do LinkedIn com os números finais</t>
  </si>
  <si>
    <t xml:space="preserve">Preparar o roteiro de entrevista (contexto, arquitetura, hipóteses, viés, bugs, monitoramento)</t>
  </si>
  <si>
    <t xml:space="preserve">Registrar lições aprendidas e atualizar o prompt-modelo de projetos</t>
  </si>
  <si>
    <t xml:space="preserve">Revisão final: limpar .temp e .temp_del, conferir .gitignore e arquivar o projeto</t>
  </si>
  <si>
    <t xml:space="preserve">Progresso por fase</t>
  </si>
  <si>
    <t xml:space="preserve">Calculado por fórmulas a partir da aba Checklist (colunas Fazer e Feito). Itens marcados N/A em Fazer saem do cálculo.</t>
  </si>
  <si>
    <t xml:space="preserve">Itens</t>
  </si>
  <si>
    <t xml:space="preserve">A fazer</t>
  </si>
  <si>
    <t xml:space="preserve">Feitos</t>
  </si>
  <si>
    <t xml:space="preserve">% concluído</t>
  </si>
  <si>
    <t xml:space="preserve">TOTAL</t>
  </si>
  <si>
    <t xml:space="preserve">Como usar este checklist</t>
  </si>
  <si>
    <t xml:space="preserve">Base: projeto risco_credito_databricks (pipeline de score de crédito no Databricks, DEV → HML → PRD).</t>
  </si>
  <si>
    <t xml:space="preserve">Colunas da aba Checklist</t>
  </si>
  <si>
    <t xml:space="preserve">Fase: etapa do projeto, na ordem em que deve ser executada (00 a 18).</t>
  </si>
  <si>
    <t xml:space="preserve">Descrição: atividade a executar. Os nomes de arquivos e valores entre parênteses são exemplos do projeto de referência; adapte ao novo projeto.</t>
  </si>
  <si>
    <t xml:space="preserve">Fazer: Sim = atividade se aplica (padrão); N/A = não se aplica ao projeto (a linha fica cinza e sai do cálculo).</t>
  </si>
  <si>
    <t xml:space="preserve">Feito: altere de Não para Sim ao concluir (a linha fica riscada e a célula verde).</t>
  </si>
  <si>
    <t xml:space="preserve">Células que você edita: somente as colunas Fazer e Feito (listas suspensas). A aba Resumo é calculada sozinha.</t>
  </si>
  <si>
    <t xml:space="preserve">Dica: use o filtro da coluna Fase para trabalhar uma fase por vez; para projetos rápidos (POC), marque N/A nas fases de CI/CD, PRD e divulgação.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</si>
</sst>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color rgb="FF7F7F7F"/>
      </font>
      <fill>
        <patternFill>
          <bgColor rgb="FFD9D9D9"/>
        </patternFill>
      </fill>
    </dxf>
    <dxf>
      <font>
        <name val="Arial"/>
        <charset val="1"/>
        <family val="0"/>
        <strike val="1"/>
        <color rgb="FF7F7F7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0"/>
    <col collapsed="false" customWidth="true" hidden="false" outlineLevel="0" max="4" min="3" style="0" width="1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4" t="s">
        <v>6</v>
      </c>
      <c r="D2" s="4" t="s">
        <v>7</v>
      </c>
    </row>
    <row r="3" customFormat="false" ht="15" hidden="false" customHeight="false" outlineLevel="0" collapsed="false">
      <c r="A3" s="2" t="s">
        <v>4</v>
      </c>
      <c r="B3" s="3" t="s">
        <v>8</v>
      </c>
      <c r="C3" s="4" t="s">
        <v>6</v>
      </c>
      <c r="D3" s="4" t="s">
        <v>7</v>
      </c>
    </row>
    <row r="4" customFormat="false" ht="15" hidden="false" customHeight="false" outlineLevel="0" collapsed="false">
      <c r="A4" s="2" t="s">
        <v>4</v>
      </c>
      <c r="B4" s="3" t="s">
        <v>9</v>
      </c>
      <c r="C4" s="4" t="s">
        <v>6</v>
      </c>
      <c r="D4" s="4" t="s">
        <v>7</v>
      </c>
    </row>
    <row r="5" customFormat="false" ht="15" hidden="false" customHeight="false" outlineLevel="0" collapsed="false">
      <c r="A5" s="2" t="s">
        <v>4</v>
      </c>
      <c r="B5" s="3" t="s">
        <v>10</v>
      </c>
      <c r="C5" s="4" t="s">
        <v>6</v>
      </c>
      <c r="D5" s="4" t="s">
        <v>7</v>
      </c>
    </row>
    <row r="6" customFormat="false" ht="15" hidden="false" customHeight="false" outlineLevel="0" collapsed="false">
      <c r="A6" s="2" t="s">
        <v>4</v>
      </c>
      <c r="B6" s="3" t="s">
        <v>11</v>
      </c>
      <c r="C6" s="4" t="s">
        <v>6</v>
      </c>
      <c r="D6" s="4" t="s">
        <v>7</v>
      </c>
    </row>
    <row r="7" customFormat="false" ht="15" hidden="false" customHeight="false" outlineLevel="0" collapsed="false">
      <c r="A7" s="2" t="s">
        <v>4</v>
      </c>
      <c r="B7" s="3" t="s">
        <v>12</v>
      </c>
      <c r="C7" s="4" t="s">
        <v>6</v>
      </c>
      <c r="D7" s="4" t="s">
        <v>7</v>
      </c>
    </row>
    <row r="8" customFormat="false" ht="15" hidden="false" customHeight="false" outlineLevel="0" collapsed="false">
      <c r="A8" s="2" t="s">
        <v>4</v>
      </c>
      <c r="B8" s="3" t="s">
        <v>13</v>
      </c>
      <c r="C8" s="4" t="s">
        <v>6</v>
      </c>
      <c r="D8" s="4" t="s">
        <v>7</v>
      </c>
    </row>
    <row r="9" customFormat="false" ht="15" hidden="false" customHeight="false" outlineLevel="0" collapsed="false">
      <c r="A9" s="2" t="s">
        <v>4</v>
      </c>
      <c r="B9" s="3" t="s">
        <v>14</v>
      </c>
      <c r="C9" s="4" t="s">
        <v>6</v>
      </c>
      <c r="D9" s="4" t="s">
        <v>7</v>
      </c>
    </row>
    <row r="10" customFormat="false" ht="15" hidden="false" customHeight="false" outlineLevel="0" collapsed="false">
      <c r="A10" s="2" t="s">
        <v>4</v>
      </c>
      <c r="B10" s="3" t="s">
        <v>15</v>
      </c>
      <c r="C10" s="4" t="s">
        <v>6</v>
      </c>
      <c r="D10" s="4" t="s">
        <v>7</v>
      </c>
    </row>
    <row r="11" customFormat="false" ht="15" hidden="false" customHeight="false" outlineLevel="0" collapsed="false">
      <c r="A11" s="2" t="s">
        <v>4</v>
      </c>
      <c r="B11" s="3" t="s">
        <v>16</v>
      </c>
      <c r="C11" s="4" t="s">
        <v>6</v>
      </c>
      <c r="D11" s="4" t="s">
        <v>7</v>
      </c>
    </row>
    <row r="12" customFormat="false" ht="15" hidden="false" customHeight="false" outlineLevel="0" collapsed="false">
      <c r="A12" s="2" t="s">
        <v>4</v>
      </c>
      <c r="B12" s="3" t="s">
        <v>17</v>
      </c>
      <c r="C12" s="4" t="s">
        <v>6</v>
      </c>
      <c r="D12" s="4" t="s">
        <v>7</v>
      </c>
    </row>
    <row r="13" customFormat="false" ht="15" hidden="false" customHeight="false" outlineLevel="0" collapsed="false">
      <c r="A13" s="2" t="s">
        <v>4</v>
      </c>
      <c r="B13" s="3" t="s">
        <v>18</v>
      </c>
      <c r="C13" s="4" t="s">
        <v>6</v>
      </c>
      <c r="D13" s="4" t="s">
        <v>7</v>
      </c>
    </row>
    <row r="14" customFormat="false" ht="15" hidden="false" customHeight="false" outlineLevel="0" collapsed="false">
      <c r="A14" s="2" t="s">
        <v>4</v>
      </c>
      <c r="B14" s="3" t="s">
        <v>19</v>
      </c>
      <c r="C14" s="4" t="s">
        <v>6</v>
      </c>
      <c r="D14" s="4" t="s">
        <v>7</v>
      </c>
    </row>
    <row r="15" customFormat="false" ht="15" hidden="false" customHeight="false" outlineLevel="0" collapsed="false">
      <c r="A15" s="5" t="s">
        <v>20</v>
      </c>
      <c r="B15" s="3" t="s">
        <v>21</v>
      </c>
      <c r="C15" s="4" t="s">
        <v>6</v>
      </c>
      <c r="D15" s="4" t="s">
        <v>7</v>
      </c>
    </row>
    <row r="16" customFormat="false" ht="15" hidden="false" customHeight="false" outlineLevel="0" collapsed="false">
      <c r="A16" s="5" t="s">
        <v>20</v>
      </c>
      <c r="B16" s="3" t="s">
        <v>22</v>
      </c>
      <c r="C16" s="4" t="s">
        <v>6</v>
      </c>
      <c r="D16" s="4" t="s">
        <v>7</v>
      </c>
    </row>
    <row r="17" customFormat="false" ht="15" hidden="false" customHeight="false" outlineLevel="0" collapsed="false">
      <c r="A17" s="5" t="s">
        <v>20</v>
      </c>
      <c r="B17" s="3" t="s">
        <v>23</v>
      </c>
      <c r="C17" s="4" t="s">
        <v>6</v>
      </c>
      <c r="D17" s="4" t="s">
        <v>7</v>
      </c>
    </row>
    <row r="18" customFormat="false" ht="15" hidden="false" customHeight="false" outlineLevel="0" collapsed="false">
      <c r="A18" s="5" t="s">
        <v>20</v>
      </c>
      <c r="B18" s="3" t="s">
        <v>24</v>
      </c>
      <c r="C18" s="4" t="s">
        <v>6</v>
      </c>
      <c r="D18" s="4" t="s">
        <v>7</v>
      </c>
    </row>
    <row r="19" customFormat="false" ht="15" hidden="false" customHeight="false" outlineLevel="0" collapsed="false">
      <c r="A19" s="5" t="s">
        <v>20</v>
      </c>
      <c r="B19" s="3" t="s">
        <v>25</v>
      </c>
      <c r="C19" s="4" t="s">
        <v>6</v>
      </c>
      <c r="D19" s="4" t="s">
        <v>7</v>
      </c>
    </row>
    <row r="20" customFormat="false" ht="15" hidden="false" customHeight="false" outlineLevel="0" collapsed="false">
      <c r="A20" s="5" t="s">
        <v>20</v>
      </c>
      <c r="B20" s="3" t="s">
        <v>26</v>
      </c>
      <c r="C20" s="4" t="s">
        <v>6</v>
      </c>
      <c r="D20" s="4" t="s">
        <v>7</v>
      </c>
    </row>
    <row r="21" customFormat="false" ht="15" hidden="false" customHeight="false" outlineLevel="0" collapsed="false">
      <c r="A21" s="5" t="s">
        <v>20</v>
      </c>
      <c r="B21" s="3" t="s">
        <v>27</v>
      </c>
      <c r="C21" s="4" t="s">
        <v>6</v>
      </c>
      <c r="D21" s="4" t="s">
        <v>7</v>
      </c>
    </row>
    <row r="22" customFormat="false" ht="15" hidden="false" customHeight="false" outlineLevel="0" collapsed="false">
      <c r="A22" s="5" t="s">
        <v>20</v>
      </c>
      <c r="B22" s="3" t="s">
        <v>28</v>
      </c>
      <c r="C22" s="4" t="s">
        <v>6</v>
      </c>
      <c r="D22" s="4" t="s">
        <v>7</v>
      </c>
    </row>
    <row r="23" customFormat="false" ht="15" hidden="false" customHeight="false" outlineLevel="0" collapsed="false">
      <c r="A23" s="2" t="s">
        <v>29</v>
      </c>
      <c r="B23" s="3" t="s">
        <v>30</v>
      </c>
      <c r="C23" s="4" t="s">
        <v>6</v>
      </c>
      <c r="D23" s="4" t="s">
        <v>7</v>
      </c>
    </row>
    <row r="24" customFormat="false" ht="15" hidden="false" customHeight="false" outlineLevel="0" collapsed="false">
      <c r="A24" s="2" t="s">
        <v>29</v>
      </c>
      <c r="B24" s="3" t="s">
        <v>31</v>
      </c>
      <c r="C24" s="4" t="s">
        <v>6</v>
      </c>
      <c r="D24" s="4" t="s">
        <v>7</v>
      </c>
    </row>
    <row r="25" customFormat="false" ht="15" hidden="false" customHeight="false" outlineLevel="0" collapsed="false">
      <c r="A25" s="2" t="s">
        <v>29</v>
      </c>
      <c r="B25" s="3" t="s">
        <v>32</v>
      </c>
      <c r="C25" s="4" t="s">
        <v>6</v>
      </c>
      <c r="D25" s="4" t="s">
        <v>7</v>
      </c>
    </row>
    <row r="26" customFormat="false" ht="15" hidden="false" customHeight="false" outlineLevel="0" collapsed="false">
      <c r="A26" s="2" t="s">
        <v>29</v>
      </c>
      <c r="B26" s="3" t="s">
        <v>33</v>
      </c>
      <c r="C26" s="4" t="s">
        <v>6</v>
      </c>
      <c r="D26" s="4" t="s">
        <v>7</v>
      </c>
    </row>
    <row r="27" customFormat="false" ht="15" hidden="false" customHeight="false" outlineLevel="0" collapsed="false">
      <c r="A27" s="2" t="s">
        <v>29</v>
      </c>
      <c r="B27" s="3" t="s">
        <v>34</v>
      </c>
      <c r="C27" s="4" t="s">
        <v>6</v>
      </c>
      <c r="D27" s="4" t="s">
        <v>7</v>
      </c>
    </row>
    <row r="28" customFormat="false" ht="15" hidden="false" customHeight="false" outlineLevel="0" collapsed="false">
      <c r="A28" s="2" t="s">
        <v>29</v>
      </c>
      <c r="B28" s="3" t="s">
        <v>35</v>
      </c>
      <c r="C28" s="4" t="s">
        <v>6</v>
      </c>
      <c r="D28" s="4" t="s">
        <v>7</v>
      </c>
    </row>
    <row r="29" customFormat="false" ht="15" hidden="false" customHeight="false" outlineLevel="0" collapsed="false">
      <c r="A29" s="2" t="s">
        <v>29</v>
      </c>
      <c r="B29" s="3" t="s">
        <v>36</v>
      </c>
      <c r="C29" s="4" t="s">
        <v>6</v>
      </c>
      <c r="D29" s="4" t="s">
        <v>7</v>
      </c>
    </row>
    <row r="30" customFormat="false" ht="15" hidden="false" customHeight="false" outlineLevel="0" collapsed="false">
      <c r="A30" s="2" t="s">
        <v>29</v>
      </c>
      <c r="B30" s="3" t="s">
        <v>37</v>
      </c>
      <c r="C30" s="4" t="s">
        <v>6</v>
      </c>
      <c r="D30" s="4" t="s">
        <v>7</v>
      </c>
    </row>
    <row r="31" customFormat="false" ht="15" hidden="false" customHeight="false" outlineLevel="0" collapsed="false">
      <c r="A31" s="2" t="s">
        <v>29</v>
      </c>
      <c r="B31" s="3" t="s">
        <v>38</v>
      </c>
      <c r="C31" s="4" t="s">
        <v>6</v>
      </c>
      <c r="D31" s="4" t="s">
        <v>7</v>
      </c>
    </row>
    <row r="32" customFormat="false" ht="15" hidden="false" customHeight="false" outlineLevel="0" collapsed="false">
      <c r="A32" s="5" t="s">
        <v>39</v>
      </c>
      <c r="B32" s="3" t="s">
        <v>40</v>
      </c>
      <c r="C32" s="4" t="s">
        <v>6</v>
      </c>
      <c r="D32" s="4" t="s">
        <v>7</v>
      </c>
    </row>
    <row r="33" customFormat="false" ht="15" hidden="false" customHeight="false" outlineLevel="0" collapsed="false">
      <c r="A33" s="5" t="s">
        <v>39</v>
      </c>
      <c r="B33" s="3" t="s">
        <v>41</v>
      </c>
      <c r="C33" s="4" t="s">
        <v>6</v>
      </c>
      <c r="D33" s="4" t="s">
        <v>7</v>
      </c>
    </row>
    <row r="34" customFormat="false" ht="15" hidden="false" customHeight="false" outlineLevel="0" collapsed="false">
      <c r="A34" s="5" t="s">
        <v>39</v>
      </c>
      <c r="B34" s="3" t="s">
        <v>42</v>
      </c>
      <c r="C34" s="4" t="s">
        <v>6</v>
      </c>
      <c r="D34" s="4" t="s">
        <v>7</v>
      </c>
    </row>
    <row r="35" customFormat="false" ht="15" hidden="false" customHeight="false" outlineLevel="0" collapsed="false">
      <c r="A35" s="5" t="s">
        <v>39</v>
      </c>
      <c r="B35" s="3" t="s">
        <v>43</v>
      </c>
      <c r="C35" s="4" t="s">
        <v>6</v>
      </c>
      <c r="D35" s="4" t="s">
        <v>7</v>
      </c>
    </row>
    <row r="36" customFormat="false" ht="15" hidden="false" customHeight="false" outlineLevel="0" collapsed="false">
      <c r="A36" s="5" t="s">
        <v>39</v>
      </c>
      <c r="B36" s="3" t="s">
        <v>44</v>
      </c>
      <c r="C36" s="4" t="s">
        <v>6</v>
      </c>
      <c r="D36" s="4" t="s">
        <v>7</v>
      </c>
    </row>
    <row r="37" customFormat="false" ht="15" hidden="false" customHeight="false" outlineLevel="0" collapsed="false">
      <c r="A37" s="5" t="s">
        <v>39</v>
      </c>
      <c r="B37" s="3" t="s">
        <v>45</v>
      </c>
      <c r="C37" s="4" t="s">
        <v>6</v>
      </c>
      <c r="D37" s="4" t="s">
        <v>7</v>
      </c>
    </row>
    <row r="38" customFormat="false" ht="15" hidden="false" customHeight="false" outlineLevel="0" collapsed="false">
      <c r="A38" s="5" t="s">
        <v>39</v>
      </c>
      <c r="B38" s="3" t="s">
        <v>46</v>
      </c>
      <c r="C38" s="4" t="s">
        <v>6</v>
      </c>
      <c r="D38" s="4" t="s">
        <v>7</v>
      </c>
    </row>
    <row r="39" customFormat="false" ht="15" hidden="false" customHeight="false" outlineLevel="0" collapsed="false">
      <c r="A39" s="5" t="s">
        <v>39</v>
      </c>
      <c r="B39" s="3" t="s">
        <v>47</v>
      </c>
      <c r="C39" s="4" t="s">
        <v>6</v>
      </c>
      <c r="D39" s="4" t="s">
        <v>7</v>
      </c>
    </row>
    <row r="40" customFormat="false" ht="15" hidden="false" customHeight="false" outlineLevel="0" collapsed="false">
      <c r="A40" s="5" t="s">
        <v>39</v>
      </c>
      <c r="B40" s="3" t="s">
        <v>48</v>
      </c>
      <c r="C40" s="4" t="s">
        <v>6</v>
      </c>
      <c r="D40" s="4" t="s">
        <v>7</v>
      </c>
    </row>
    <row r="41" customFormat="false" ht="15" hidden="false" customHeight="false" outlineLevel="0" collapsed="false">
      <c r="A41" s="5" t="s">
        <v>39</v>
      </c>
      <c r="B41" s="3" t="s">
        <v>49</v>
      </c>
      <c r="C41" s="4" t="s">
        <v>6</v>
      </c>
      <c r="D41" s="4" t="s">
        <v>7</v>
      </c>
    </row>
    <row r="42" customFormat="false" ht="15" hidden="false" customHeight="false" outlineLevel="0" collapsed="false">
      <c r="A42" s="5" t="s">
        <v>39</v>
      </c>
      <c r="B42" s="3" t="s">
        <v>50</v>
      </c>
      <c r="C42" s="4" t="s">
        <v>6</v>
      </c>
      <c r="D42" s="4" t="s">
        <v>7</v>
      </c>
    </row>
    <row r="43" customFormat="false" ht="15" hidden="false" customHeight="false" outlineLevel="0" collapsed="false">
      <c r="A43" s="5" t="s">
        <v>39</v>
      </c>
      <c r="B43" s="3" t="s">
        <v>51</v>
      </c>
      <c r="C43" s="4" t="s">
        <v>6</v>
      </c>
      <c r="D43" s="4" t="s">
        <v>7</v>
      </c>
    </row>
    <row r="44" customFormat="false" ht="15" hidden="false" customHeight="false" outlineLevel="0" collapsed="false">
      <c r="A44" s="2" t="s">
        <v>52</v>
      </c>
      <c r="B44" s="3" t="s">
        <v>53</v>
      </c>
      <c r="C44" s="4" t="s">
        <v>6</v>
      </c>
      <c r="D44" s="4" t="s">
        <v>7</v>
      </c>
    </row>
    <row r="45" customFormat="false" ht="15" hidden="false" customHeight="false" outlineLevel="0" collapsed="false">
      <c r="A45" s="2" t="s">
        <v>52</v>
      </c>
      <c r="B45" s="3" t="s">
        <v>54</v>
      </c>
      <c r="C45" s="4" t="s">
        <v>6</v>
      </c>
      <c r="D45" s="4" t="s">
        <v>7</v>
      </c>
    </row>
    <row r="46" customFormat="false" ht="15" hidden="false" customHeight="false" outlineLevel="0" collapsed="false">
      <c r="A46" s="2" t="s">
        <v>52</v>
      </c>
      <c r="B46" s="3" t="s">
        <v>55</v>
      </c>
      <c r="C46" s="4" t="s">
        <v>6</v>
      </c>
      <c r="D46" s="4" t="s">
        <v>7</v>
      </c>
    </row>
    <row r="47" customFormat="false" ht="15" hidden="false" customHeight="false" outlineLevel="0" collapsed="false">
      <c r="A47" s="2" t="s">
        <v>52</v>
      </c>
      <c r="B47" s="3" t="s">
        <v>56</v>
      </c>
      <c r="C47" s="4" t="s">
        <v>6</v>
      </c>
      <c r="D47" s="4" t="s">
        <v>7</v>
      </c>
    </row>
    <row r="48" customFormat="false" ht="15" hidden="false" customHeight="false" outlineLevel="0" collapsed="false">
      <c r="A48" s="2" t="s">
        <v>52</v>
      </c>
      <c r="B48" s="3" t="s">
        <v>57</v>
      </c>
      <c r="C48" s="4" t="s">
        <v>6</v>
      </c>
      <c r="D48" s="4" t="s">
        <v>7</v>
      </c>
    </row>
    <row r="49" customFormat="false" ht="15" hidden="false" customHeight="false" outlineLevel="0" collapsed="false">
      <c r="A49" s="2" t="s">
        <v>52</v>
      </c>
      <c r="B49" s="3" t="s">
        <v>58</v>
      </c>
      <c r="C49" s="4" t="s">
        <v>6</v>
      </c>
      <c r="D49" s="4" t="s">
        <v>7</v>
      </c>
    </row>
    <row r="50" customFormat="false" ht="15" hidden="false" customHeight="false" outlineLevel="0" collapsed="false">
      <c r="A50" s="2" t="s">
        <v>52</v>
      </c>
      <c r="B50" s="3" t="s">
        <v>59</v>
      </c>
      <c r="C50" s="4" t="s">
        <v>6</v>
      </c>
      <c r="D50" s="4" t="s">
        <v>7</v>
      </c>
    </row>
    <row r="51" customFormat="false" ht="15" hidden="false" customHeight="false" outlineLevel="0" collapsed="false">
      <c r="A51" s="5" t="s">
        <v>60</v>
      </c>
      <c r="B51" s="3" t="s">
        <v>61</v>
      </c>
      <c r="C51" s="4" t="s">
        <v>6</v>
      </c>
      <c r="D51" s="4" t="s">
        <v>7</v>
      </c>
    </row>
    <row r="52" customFormat="false" ht="15" hidden="false" customHeight="false" outlineLevel="0" collapsed="false">
      <c r="A52" s="5" t="s">
        <v>60</v>
      </c>
      <c r="B52" s="3" t="s">
        <v>62</v>
      </c>
      <c r="C52" s="4" t="s">
        <v>6</v>
      </c>
      <c r="D52" s="4" t="s">
        <v>7</v>
      </c>
    </row>
    <row r="53" customFormat="false" ht="15" hidden="false" customHeight="false" outlineLevel="0" collapsed="false">
      <c r="A53" s="5" t="s">
        <v>60</v>
      </c>
      <c r="B53" s="3" t="s">
        <v>63</v>
      </c>
      <c r="C53" s="4" t="s">
        <v>6</v>
      </c>
      <c r="D53" s="4" t="s">
        <v>7</v>
      </c>
    </row>
    <row r="54" customFormat="false" ht="15" hidden="false" customHeight="false" outlineLevel="0" collapsed="false">
      <c r="A54" s="5" t="s">
        <v>60</v>
      </c>
      <c r="B54" s="3" t="s">
        <v>64</v>
      </c>
      <c r="C54" s="4" t="s">
        <v>6</v>
      </c>
      <c r="D54" s="4" t="s">
        <v>7</v>
      </c>
    </row>
    <row r="55" customFormat="false" ht="15" hidden="false" customHeight="false" outlineLevel="0" collapsed="false">
      <c r="A55" s="5" t="s">
        <v>60</v>
      </c>
      <c r="B55" s="3" t="s">
        <v>65</v>
      </c>
      <c r="C55" s="4" t="s">
        <v>6</v>
      </c>
      <c r="D55" s="4" t="s">
        <v>7</v>
      </c>
    </row>
    <row r="56" customFormat="false" ht="15" hidden="false" customHeight="false" outlineLevel="0" collapsed="false">
      <c r="A56" s="5" t="s">
        <v>60</v>
      </c>
      <c r="B56" s="3" t="s">
        <v>66</v>
      </c>
      <c r="C56" s="4" t="s">
        <v>6</v>
      </c>
      <c r="D56" s="4" t="s">
        <v>7</v>
      </c>
    </row>
    <row r="57" customFormat="false" ht="15" hidden="false" customHeight="false" outlineLevel="0" collapsed="false">
      <c r="A57" s="2" t="s">
        <v>67</v>
      </c>
      <c r="B57" s="3" t="s">
        <v>68</v>
      </c>
      <c r="C57" s="4" t="s">
        <v>6</v>
      </c>
      <c r="D57" s="4" t="s">
        <v>7</v>
      </c>
    </row>
    <row r="58" customFormat="false" ht="15" hidden="false" customHeight="false" outlineLevel="0" collapsed="false">
      <c r="A58" s="2" t="s">
        <v>67</v>
      </c>
      <c r="B58" s="3" t="s">
        <v>69</v>
      </c>
      <c r="C58" s="4" t="s">
        <v>6</v>
      </c>
      <c r="D58" s="4" t="s">
        <v>7</v>
      </c>
    </row>
    <row r="59" customFormat="false" ht="15" hidden="false" customHeight="false" outlineLevel="0" collapsed="false">
      <c r="A59" s="2" t="s">
        <v>67</v>
      </c>
      <c r="B59" s="3" t="s">
        <v>70</v>
      </c>
      <c r="C59" s="4" t="s">
        <v>6</v>
      </c>
      <c r="D59" s="4" t="s">
        <v>7</v>
      </c>
    </row>
    <row r="60" customFormat="false" ht="15" hidden="false" customHeight="false" outlineLevel="0" collapsed="false">
      <c r="A60" s="2" t="s">
        <v>67</v>
      </c>
      <c r="B60" s="3" t="s">
        <v>71</v>
      </c>
      <c r="C60" s="4" t="s">
        <v>6</v>
      </c>
      <c r="D60" s="4" t="s">
        <v>7</v>
      </c>
    </row>
    <row r="61" customFormat="false" ht="15" hidden="false" customHeight="false" outlineLevel="0" collapsed="false">
      <c r="A61" s="2" t="s">
        <v>67</v>
      </c>
      <c r="B61" s="3" t="s">
        <v>72</v>
      </c>
      <c r="C61" s="4" t="s">
        <v>6</v>
      </c>
      <c r="D61" s="4" t="s">
        <v>7</v>
      </c>
    </row>
    <row r="62" customFormat="false" ht="15" hidden="false" customHeight="false" outlineLevel="0" collapsed="false">
      <c r="A62" s="2" t="s">
        <v>67</v>
      </c>
      <c r="B62" s="3" t="s">
        <v>73</v>
      </c>
      <c r="C62" s="4" t="s">
        <v>6</v>
      </c>
      <c r="D62" s="4" t="s">
        <v>7</v>
      </c>
    </row>
    <row r="63" customFormat="false" ht="15" hidden="false" customHeight="false" outlineLevel="0" collapsed="false">
      <c r="A63" s="5" t="s">
        <v>74</v>
      </c>
      <c r="B63" s="3" t="s">
        <v>75</v>
      </c>
      <c r="C63" s="4" t="s">
        <v>6</v>
      </c>
      <c r="D63" s="4" t="s">
        <v>7</v>
      </c>
    </row>
    <row r="64" customFormat="false" ht="15" hidden="false" customHeight="false" outlineLevel="0" collapsed="false">
      <c r="A64" s="5" t="s">
        <v>74</v>
      </c>
      <c r="B64" s="3" t="s">
        <v>76</v>
      </c>
      <c r="C64" s="4" t="s">
        <v>6</v>
      </c>
      <c r="D64" s="4" t="s">
        <v>7</v>
      </c>
    </row>
    <row r="65" customFormat="false" ht="15" hidden="false" customHeight="false" outlineLevel="0" collapsed="false">
      <c r="A65" s="5" t="s">
        <v>74</v>
      </c>
      <c r="B65" s="3" t="s">
        <v>77</v>
      </c>
      <c r="C65" s="4" t="s">
        <v>6</v>
      </c>
      <c r="D65" s="4" t="s">
        <v>7</v>
      </c>
    </row>
    <row r="66" customFormat="false" ht="15" hidden="false" customHeight="false" outlineLevel="0" collapsed="false">
      <c r="A66" s="5" t="s">
        <v>74</v>
      </c>
      <c r="B66" s="3" t="s">
        <v>78</v>
      </c>
      <c r="C66" s="4" t="s">
        <v>6</v>
      </c>
      <c r="D66" s="4" t="s">
        <v>7</v>
      </c>
    </row>
    <row r="67" customFormat="false" ht="15" hidden="false" customHeight="false" outlineLevel="0" collapsed="false">
      <c r="A67" s="5" t="s">
        <v>74</v>
      </c>
      <c r="B67" s="3" t="s">
        <v>79</v>
      </c>
      <c r="C67" s="4" t="s">
        <v>6</v>
      </c>
      <c r="D67" s="4" t="s">
        <v>7</v>
      </c>
    </row>
    <row r="68" customFormat="false" ht="15" hidden="false" customHeight="false" outlineLevel="0" collapsed="false">
      <c r="A68" s="5" t="s">
        <v>74</v>
      </c>
      <c r="B68" s="3" t="s">
        <v>80</v>
      </c>
      <c r="C68" s="4" t="s">
        <v>6</v>
      </c>
      <c r="D68" s="4" t="s">
        <v>7</v>
      </c>
    </row>
    <row r="69" customFormat="false" ht="15" hidden="false" customHeight="false" outlineLevel="0" collapsed="false">
      <c r="A69" s="5" t="s">
        <v>74</v>
      </c>
      <c r="B69" s="3" t="s">
        <v>81</v>
      </c>
      <c r="C69" s="4" t="s">
        <v>6</v>
      </c>
      <c r="D69" s="4" t="s">
        <v>7</v>
      </c>
    </row>
    <row r="70" customFormat="false" ht="15" hidden="false" customHeight="false" outlineLevel="0" collapsed="false">
      <c r="A70" s="5" t="s">
        <v>74</v>
      </c>
      <c r="B70" s="3" t="s">
        <v>82</v>
      </c>
      <c r="C70" s="4" t="s">
        <v>6</v>
      </c>
      <c r="D70" s="4" t="s">
        <v>7</v>
      </c>
    </row>
    <row r="71" customFormat="false" ht="15" hidden="false" customHeight="false" outlineLevel="0" collapsed="false">
      <c r="A71" s="2" t="s">
        <v>83</v>
      </c>
      <c r="B71" s="3" t="s">
        <v>84</v>
      </c>
      <c r="C71" s="4" t="s">
        <v>6</v>
      </c>
      <c r="D71" s="4" t="s">
        <v>7</v>
      </c>
    </row>
    <row r="72" customFormat="false" ht="15" hidden="false" customHeight="false" outlineLevel="0" collapsed="false">
      <c r="A72" s="2" t="s">
        <v>83</v>
      </c>
      <c r="B72" s="3" t="s">
        <v>85</v>
      </c>
      <c r="C72" s="4" t="s">
        <v>6</v>
      </c>
      <c r="D72" s="4" t="s">
        <v>7</v>
      </c>
    </row>
    <row r="73" customFormat="false" ht="15" hidden="false" customHeight="false" outlineLevel="0" collapsed="false">
      <c r="A73" s="2" t="s">
        <v>83</v>
      </c>
      <c r="B73" s="3" t="s">
        <v>86</v>
      </c>
      <c r="C73" s="4" t="s">
        <v>6</v>
      </c>
      <c r="D73" s="4" t="s">
        <v>7</v>
      </c>
    </row>
    <row r="74" customFormat="false" ht="15" hidden="false" customHeight="false" outlineLevel="0" collapsed="false">
      <c r="A74" s="2" t="s">
        <v>83</v>
      </c>
      <c r="B74" s="3" t="s">
        <v>87</v>
      </c>
      <c r="C74" s="4" t="s">
        <v>6</v>
      </c>
      <c r="D74" s="4" t="s">
        <v>7</v>
      </c>
    </row>
    <row r="75" customFormat="false" ht="15" hidden="false" customHeight="false" outlineLevel="0" collapsed="false">
      <c r="A75" s="2" t="s">
        <v>83</v>
      </c>
      <c r="B75" s="3" t="s">
        <v>88</v>
      </c>
      <c r="C75" s="4" t="s">
        <v>6</v>
      </c>
      <c r="D75" s="4" t="s">
        <v>7</v>
      </c>
    </row>
    <row r="76" customFormat="false" ht="15" hidden="false" customHeight="false" outlineLevel="0" collapsed="false">
      <c r="A76" s="2" t="s">
        <v>83</v>
      </c>
      <c r="B76" s="3" t="s">
        <v>89</v>
      </c>
      <c r="C76" s="4" t="s">
        <v>6</v>
      </c>
      <c r="D76" s="4" t="s">
        <v>7</v>
      </c>
    </row>
    <row r="77" customFormat="false" ht="15" hidden="false" customHeight="false" outlineLevel="0" collapsed="false">
      <c r="A77" s="2" t="s">
        <v>83</v>
      </c>
      <c r="B77" s="3" t="s">
        <v>90</v>
      </c>
      <c r="C77" s="4" t="s">
        <v>6</v>
      </c>
      <c r="D77" s="4" t="s">
        <v>7</v>
      </c>
    </row>
    <row r="78" customFormat="false" ht="15" hidden="false" customHeight="false" outlineLevel="0" collapsed="false">
      <c r="A78" s="5" t="s">
        <v>91</v>
      </c>
      <c r="B78" s="3" t="s">
        <v>92</v>
      </c>
      <c r="C78" s="4" t="s">
        <v>6</v>
      </c>
      <c r="D78" s="4" t="s">
        <v>7</v>
      </c>
    </row>
    <row r="79" customFormat="false" ht="15" hidden="false" customHeight="false" outlineLevel="0" collapsed="false">
      <c r="A79" s="5" t="s">
        <v>91</v>
      </c>
      <c r="B79" s="3" t="s">
        <v>93</v>
      </c>
      <c r="C79" s="4" t="s">
        <v>6</v>
      </c>
      <c r="D79" s="4" t="s">
        <v>7</v>
      </c>
    </row>
    <row r="80" customFormat="false" ht="15" hidden="false" customHeight="false" outlineLevel="0" collapsed="false">
      <c r="A80" s="5" t="s">
        <v>91</v>
      </c>
      <c r="B80" s="3" t="s">
        <v>94</v>
      </c>
      <c r="C80" s="4" t="s">
        <v>6</v>
      </c>
      <c r="D80" s="4" t="s">
        <v>7</v>
      </c>
    </row>
    <row r="81" customFormat="false" ht="15" hidden="false" customHeight="false" outlineLevel="0" collapsed="false">
      <c r="A81" s="5" t="s">
        <v>91</v>
      </c>
      <c r="B81" s="3" t="s">
        <v>95</v>
      </c>
      <c r="C81" s="4" t="s">
        <v>6</v>
      </c>
      <c r="D81" s="4" t="s">
        <v>7</v>
      </c>
    </row>
    <row r="82" customFormat="false" ht="15" hidden="false" customHeight="false" outlineLevel="0" collapsed="false">
      <c r="A82" s="5" t="s">
        <v>91</v>
      </c>
      <c r="B82" s="3" t="s">
        <v>96</v>
      </c>
      <c r="C82" s="4" t="s">
        <v>6</v>
      </c>
      <c r="D82" s="4" t="s">
        <v>7</v>
      </c>
    </row>
    <row r="83" customFormat="false" ht="15" hidden="false" customHeight="false" outlineLevel="0" collapsed="false">
      <c r="A83" s="5" t="s">
        <v>91</v>
      </c>
      <c r="B83" s="3" t="s">
        <v>97</v>
      </c>
      <c r="C83" s="4" t="s">
        <v>6</v>
      </c>
      <c r="D83" s="4" t="s">
        <v>7</v>
      </c>
    </row>
    <row r="84" customFormat="false" ht="15" hidden="false" customHeight="false" outlineLevel="0" collapsed="false">
      <c r="A84" s="2" t="s">
        <v>98</v>
      </c>
      <c r="B84" s="3" t="s">
        <v>99</v>
      </c>
      <c r="C84" s="4" t="s">
        <v>6</v>
      </c>
      <c r="D84" s="4" t="s">
        <v>7</v>
      </c>
    </row>
    <row r="85" customFormat="false" ht="15" hidden="false" customHeight="false" outlineLevel="0" collapsed="false">
      <c r="A85" s="2" t="s">
        <v>98</v>
      </c>
      <c r="B85" s="3" t="s">
        <v>100</v>
      </c>
      <c r="C85" s="4" t="s">
        <v>6</v>
      </c>
      <c r="D85" s="4" t="s">
        <v>7</v>
      </c>
    </row>
    <row r="86" customFormat="false" ht="15" hidden="false" customHeight="false" outlineLevel="0" collapsed="false">
      <c r="A86" s="2" t="s">
        <v>98</v>
      </c>
      <c r="B86" s="3" t="s">
        <v>101</v>
      </c>
      <c r="C86" s="4" t="s">
        <v>6</v>
      </c>
      <c r="D86" s="4" t="s">
        <v>7</v>
      </c>
    </row>
    <row r="87" customFormat="false" ht="15" hidden="false" customHeight="false" outlineLevel="0" collapsed="false">
      <c r="A87" s="2" t="s">
        <v>98</v>
      </c>
      <c r="B87" s="3" t="s">
        <v>102</v>
      </c>
      <c r="C87" s="4" t="s">
        <v>6</v>
      </c>
      <c r="D87" s="4" t="s">
        <v>7</v>
      </c>
    </row>
    <row r="88" customFormat="false" ht="15" hidden="false" customHeight="false" outlineLevel="0" collapsed="false">
      <c r="A88" s="2" t="s">
        <v>98</v>
      </c>
      <c r="B88" s="3" t="s">
        <v>103</v>
      </c>
      <c r="C88" s="4" t="s">
        <v>6</v>
      </c>
      <c r="D88" s="4" t="s">
        <v>7</v>
      </c>
    </row>
    <row r="89" customFormat="false" ht="15" hidden="false" customHeight="false" outlineLevel="0" collapsed="false">
      <c r="A89" s="2" t="s">
        <v>98</v>
      </c>
      <c r="B89" s="3" t="s">
        <v>104</v>
      </c>
      <c r="C89" s="4" t="s">
        <v>6</v>
      </c>
      <c r="D89" s="4" t="s">
        <v>7</v>
      </c>
    </row>
    <row r="90" customFormat="false" ht="15" hidden="false" customHeight="false" outlineLevel="0" collapsed="false">
      <c r="A90" s="2" t="s">
        <v>98</v>
      </c>
      <c r="B90" s="3" t="s">
        <v>105</v>
      </c>
      <c r="C90" s="4" t="s">
        <v>6</v>
      </c>
      <c r="D90" s="4" t="s">
        <v>7</v>
      </c>
    </row>
    <row r="91" customFormat="false" ht="15" hidden="false" customHeight="false" outlineLevel="0" collapsed="false">
      <c r="A91" s="2" t="s">
        <v>98</v>
      </c>
      <c r="B91" s="3" t="s">
        <v>106</v>
      </c>
      <c r="C91" s="4" t="s">
        <v>6</v>
      </c>
      <c r="D91" s="4" t="s">
        <v>7</v>
      </c>
    </row>
    <row r="92" customFormat="false" ht="15" hidden="false" customHeight="false" outlineLevel="0" collapsed="false">
      <c r="A92" s="2" t="s">
        <v>98</v>
      </c>
      <c r="B92" s="3" t="s">
        <v>107</v>
      </c>
      <c r="C92" s="4" t="s">
        <v>6</v>
      </c>
      <c r="D92" s="4" t="s">
        <v>7</v>
      </c>
    </row>
    <row r="93" customFormat="false" ht="15" hidden="false" customHeight="false" outlineLevel="0" collapsed="false">
      <c r="A93" s="2" t="s">
        <v>98</v>
      </c>
      <c r="B93" s="3" t="s">
        <v>108</v>
      </c>
      <c r="C93" s="4" t="s">
        <v>6</v>
      </c>
      <c r="D93" s="4" t="s">
        <v>7</v>
      </c>
    </row>
    <row r="94" customFormat="false" ht="15" hidden="false" customHeight="false" outlineLevel="0" collapsed="false">
      <c r="A94" s="2" t="s">
        <v>98</v>
      </c>
      <c r="B94" s="3" t="s">
        <v>109</v>
      </c>
      <c r="C94" s="4" t="s">
        <v>6</v>
      </c>
      <c r="D94" s="4" t="s">
        <v>7</v>
      </c>
    </row>
    <row r="95" customFormat="false" ht="15" hidden="false" customHeight="false" outlineLevel="0" collapsed="false">
      <c r="A95" s="5" t="s">
        <v>110</v>
      </c>
      <c r="B95" s="3" t="s">
        <v>111</v>
      </c>
      <c r="C95" s="4" t="s">
        <v>6</v>
      </c>
      <c r="D95" s="4" t="s">
        <v>7</v>
      </c>
    </row>
    <row r="96" customFormat="false" ht="15" hidden="false" customHeight="false" outlineLevel="0" collapsed="false">
      <c r="A96" s="5" t="s">
        <v>110</v>
      </c>
      <c r="B96" s="3" t="s">
        <v>112</v>
      </c>
      <c r="C96" s="4" t="s">
        <v>6</v>
      </c>
      <c r="D96" s="4" t="s">
        <v>7</v>
      </c>
    </row>
    <row r="97" customFormat="false" ht="15" hidden="false" customHeight="false" outlineLevel="0" collapsed="false">
      <c r="A97" s="5" t="s">
        <v>110</v>
      </c>
      <c r="B97" s="3" t="s">
        <v>113</v>
      </c>
      <c r="C97" s="4" t="s">
        <v>6</v>
      </c>
      <c r="D97" s="4" t="s">
        <v>7</v>
      </c>
    </row>
    <row r="98" customFormat="false" ht="15" hidden="false" customHeight="false" outlineLevel="0" collapsed="false">
      <c r="A98" s="5" t="s">
        <v>110</v>
      </c>
      <c r="B98" s="3" t="s">
        <v>114</v>
      </c>
      <c r="C98" s="4" t="s">
        <v>6</v>
      </c>
      <c r="D98" s="4" t="s">
        <v>7</v>
      </c>
    </row>
    <row r="99" customFormat="false" ht="15" hidden="false" customHeight="false" outlineLevel="0" collapsed="false">
      <c r="A99" s="5" t="s">
        <v>110</v>
      </c>
      <c r="B99" s="3" t="s">
        <v>115</v>
      </c>
      <c r="C99" s="4" t="s">
        <v>6</v>
      </c>
      <c r="D99" s="4" t="s">
        <v>7</v>
      </c>
    </row>
    <row r="100" customFormat="false" ht="15" hidden="false" customHeight="false" outlineLevel="0" collapsed="false">
      <c r="A100" s="5" t="s">
        <v>110</v>
      </c>
      <c r="B100" s="3" t="s">
        <v>116</v>
      </c>
      <c r="C100" s="4" t="s">
        <v>6</v>
      </c>
      <c r="D100" s="4" t="s">
        <v>7</v>
      </c>
    </row>
    <row r="101" customFormat="false" ht="15" hidden="false" customHeight="false" outlineLevel="0" collapsed="false">
      <c r="A101" s="5" t="s">
        <v>110</v>
      </c>
      <c r="B101" s="3" t="s">
        <v>117</v>
      </c>
      <c r="C101" s="4" t="s">
        <v>6</v>
      </c>
      <c r="D101" s="4" t="s">
        <v>7</v>
      </c>
    </row>
    <row r="102" customFormat="false" ht="15" hidden="false" customHeight="false" outlineLevel="0" collapsed="false">
      <c r="A102" s="5" t="s">
        <v>110</v>
      </c>
      <c r="B102" s="3" t="s">
        <v>118</v>
      </c>
      <c r="C102" s="4" t="s">
        <v>6</v>
      </c>
      <c r="D102" s="4" t="s">
        <v>7</v>
      </c>
    </row>
    <row r="103" customFormat="false" ht="15" hidden="false" customHeight="false" outlineLevel="0" collapsed="false">
      <c r="A103" s="5" t="s">
        <v>110</v>
      </c>
      <c r="B103" s="3" t="s">
        <v>119</v>
      </c>
      <c r="C103" s="4" t="s">
        <v>6</v>
      </c>
      <c r="D103" s="4" t="s">
        <v>7</v>
      </c>
    </row>
    <row r="104" customFormat="false" ht="15" hidden="false" customHeight="false" outlineLevel="0" collapsed="false">
      <c r="A104" s="5" t="s">
        <v>110</v>
      </c>
      <c r="B104" s="3" t="s">
        <v>120</v>
      </c>
      <c r="C104" s="4" t="s">
        <v>6</v>
      </c>
      <c r="D104" s="4" t="s">
        <v>7</v>
      </c>
    </row>
    <row r="105" customFormat="false" ht="15" hidden="false" customHeight="false" outlineLevel="0" collapsed="false">
      <c r="A105" s="2" t="s">
        <v>121</v>
      </c>
      <c r="B105" s="3" t="s">
        <v>122</v>
      </c>
      <c r="C105" s="4" t="s">
        <v>6</v>
      </c>
      <c r="D105" s="4" t="s">
        <v>7</v>
      </c>
    </row>
    <row r="106" customFormat="false" ht="15" hidden="false" customHeight="false" outlineLevel="0" collapsed="false">
      <c r="A106" s="2" t="s">
        <v>121</v>
      </c>
      <c r="B106" s="3" t="s">
        <v>123</v>
      </c>
      <c r="C106" s="4" t="s">
        <v>6</v>
      </c>
      <c r="D106" s="4" t="s">
        <v>7</v>
      </c>
    </row>
    <row r="107" customFormat="false" ht="15" hidden="false" customHeight="false" outlineLevel="0" collapsed="false">
      <c r="A107" s="2" t="s">
        <v>121</v>
      </c>
      <c r="B107" s="3" t="s">
        <v>124</v>
      </c>
      <c r="C107" s="4" t="s">
        <v>6</v>
      </c>
      <c r="D107" s="4" t="s">
        <v>7</v>
      </c>
    </row>
    <row r="108" customFormat="false" ht="15" hidden="false" customHeight="false" outlineLevel="0" collapsed="false">
      <c r="A108" s="2" t="s">
        <v>121</v>
      </c>
      <c r="B108" s="3" t="s">
        <v>125</v>
      </c>
      <c r="C108" s="4" t="s">
        <v>6</v>
      </c>
      <c r="D108" s="4" t="s">
        <v>7</v>
      </c>
    </row>
    <row r="109" customFormat="false" ht="15" hidden="false" customHeight="false" outlineLevel="0" collapsed="false">
      <c r="A109" s="2" t="s">
        <v>121</v>
      </c>
      <c r="B109" s="3" t="s">
        <v>126</v>
      </c>
      <c r="C109" s="4" t="s">
        <v>6</v>
      </c>
      <c r="D109" s="4" t="s">
        <v>7</v>
      </c>
    </row>
    <row r="110" customFormat="false" ht="15" hidden="false" customHeight="false" outlineLevel="0" collapsed="false">
      <c r="A110" s="2" t="s">
        <v>121</v>
      </c>
      <c r="B110" s="3" t="s">
        <v>127</v>
      </c>
      <c r="C110" s="4" t="s">
        <v>6</v>
      </c>
      <c r="D110" s="4" t="s">
        <v>7</v>
      </c>
    </row>
    <row r="111" customFormat="false" ht="15" hidden="false" customHeight="false" outlineLevel="0" collapsed="false">
      <c r="A111" s="5" t="s">
        <v>128</v>
      </c>
      <c r="B111" s="3" t="s">
        <v>129</v>
      </c>
      <c r="C111" s="4" t="s">
        <v>6</v>
      </c>
      <c r="D111" s="4" t="s">
        <v>7</v>
      </c>
    </row>
    <row r="112" customFormat="false" ht="15" hidden="false" customHeight="false" outlineLevel="0" collapsed="false">
      <c r="A112" s="5" t="s">
        <v>128</v>
      </c>
      <c r="B112" s="3" t="s">
        <v>130</v>
      </c>
      <c r="C112" s="4" t="s">
        <v>6</v>
      </c>
      <c r="D112" s="4" t="s">
        <v>7</v>
      </c>
    </row>
    <row r="113" customFormat="false" ht="15" hidden="false" customHeight="false" outlineLevel="0" collapsed="false">
      <c r="A113" s="5" t="s">
        <v>128</v>
      </c>
      <c r="B113" s="3" t="s">
        <v>131</v>
      </c>
      <c r="C113" s="4" t="s">
        <v>6</v>
      </c>
      <c r="D113" s="4" t="s">
        <v>7</v>
      </c>
    </row>
    <row r="114" customFormat="false" ht="15" hidden="false" customHeight="false" outlineLevel="0" collapsed="false">
      <c r="A114" s="5" t="s">
        <v>128</v>
      </c>
      <c r="B114" s="3" t="s">
        <v>132</v>
      </c>
      <c r="C114" s="4" t="s">
        <v>6</v>
      </c>
      <c r="D114" s="4" t="s">
        <v>7</v>
      </c>
    </row>
    <row r="115" customFormat="false" ht="15" hidden="false" customHeight="false" outlineLevel="0" collapsed="false">
      <c r="A115" s="5" t="s">
        <v>128</v>
      </c>
      <c r="B115" s="3" t="s">
        <v>133</v>
      </c>
      <c r="C115" s="4" t="s">
        <v>6</v>
      </c>
      <c r="D115" s="4" t="s">
        <v>7</v>
      </c>
    </row>
    <row r="116" customFormat="false" ht="15" hidden="false" customHeight="false" outlineLevel="0" collapsed="false">
      <c r="A116" s="5" t="s">
        <v>128</v>
      </c>
      <c r="B116" s="3" t="s">
        <v>134</v>
      </c>
      <c r="C116" s="4" t="s">
        <v>6</v>
      </c>
      <c r="D116" s="4" t="s">
        <v>7</v>
      </c>
    </row>
    <row r="117" customFormat="false" ht="15" hidden="false" customHeight="false" outlineLevel="0" collapsed="false">
      <c r="A117" s="5" t="s">
        <v>128</v>
      </c>
      <c r="B117" s="3" t="s">
        <v>135</v>
      </c>
      <c r="C117" s="4" t="s">
        <v>6</v>
      </c>
      <c r="D117" s="4" t="s">
        <v>7</v>
      </c>
    </row>
    <row r="118" customFormat="false" ht="15" hidden="false" customHeight="false" outlineLevel="0" collapsed="false">
      <c r="A118" s="5" t="s">
        <v>128</v>
      </c>
      <c r="B118" s="3" t="s">
        <v>136</v>
      </c>
      <c r="C118" s="4" t="s">
        <v>6</v>
      </c>
      <c r="D118" s="4" t="s">
        <v>7</v>
      </c>
    </row>
    <row r="119" customFormat="false" ht="15" hidden="false" customHeight="false" outlineLevel="0" collapsed="false">
      <c r="A119" s="5" t="s">
        <v>128</v>
      </c>
      <c r="B119" s="3" t="s">
        <v>137</v>
      </c>
      <c r="C119" s="4" t="s">
        <v>6</v>
      </c>
      <c r="D119" s="4" t="s">
        <v>7</v>
      </c>
    </row>
    <row r="120" customFormat="false" ht="15" hidden="false" customHeight="false" outlineLevel="0" collapsed="false">
      <c r="A120" s="2" t="s">
        <v>138</v>
      </c>
      <c r="B120" s="3" t="s">
        <v>139</v>
      </c>
      <c r="C120" s="4" t="s">
        <v>6</v>
      </c>
      <c r="D120" s="4" t="s">
        <v>7</v>
      </c>
    </row>
    <row r="121" customFormat="false" ht="15" hidden="false" customHeight="false" outlineLevel="0" collapsed="false">
      <c r="A121" s="2" t="s">
        <v>138</v>
      </c>
      <c r="B121" s="3" t="s">
        <v>140</v>
      </c>
      <c r="C121" s="4" t="s">
        <v>6</v>
      </c>
      <c r="D121" s="4" t="s">
        <v>7</v>
      </c>
    </row>
    <row r="122" customFormat="false" ht="15" hidden="false" customHeight="false" outlineLevel="0" collapsed="false">
      <c r="A122" s="2" t="s">
        <v>138</v>
      </c>
      <c r="B122" s="3" t="s">
        <v>141</v>
      </c>
      <c r="C122" s="4" t="s">
        <v>6</v>
      </c>
      <c r="D122" s="4" t="s">
        <v>7</v>
      </c>
    </row>
    <row r="123" customFormat="false" ht="15" hidden="false" customHeight="false" outlineLevel="0" collapsed="false">
      <c r="A123" s="2" t="s">
        <v>138</v>
      </c>
      <c r="B123" s="3" t="s">
        <v>142</v>
      </c>
      <c r="C123" s="4" t="s">
        <v>6</v>
      </c>
      <c r="D123" s="4" t="s">
        <v>7</v>
      </c>
    </row>
    <row r="124" customFormat="false" ht="15" hidden="false" customHeight="false" outlineLevel="0" collapsed="false">
      <c r="A124" s="2" t="s">
        <v>138</v>
      </c>
      <c r="B124" s="3" t="s">
        <v>143</v>
      </c>
      <c r="C124" s="4" t="s">
        <v>6</v>
      </c>
      <c r="D124" s="4" t="s">
        <v>7</v>
      </c>
    </row>
    <row r="125" customFormat="false" ht="15" hidden="false" customHeight="false" outlineLevel="0" collapsed="false">
      <c r="A125" s="2" t="s">
        <v>138</v>
      </c>
      <c r="B125" s="3" t="s">
        <v>144</v>
      </c>
      <c r="C125" s="4" t="s">
        <v>6</v>
      </c>
      <c r="D125" s="4" t="s">
        <v>7</v>
      </c>
    </row>
    <row r="126" customFormat="false" ht="15" hidden="false" customHeight="false" outlineLevel="0" collapsed="false">
      <c r="A126" s="2" t="s">
        <v>138</v>
      </c>
      <c r="B126" s="3" t="s">
        <v>145</v>
      </c>
      <c r="C126" s="4" t="s">
        <v>6</v>
      </c>
      <c r="D126" s="4" t="s">
        <v>7</v>
      </c>
    </row>
    <row r="127" customFormat="false" ht="15" hidden="false" customHeight="false" outlineLevel="0" collapsed="false">
      <c r="A127" s="5" t="s">
        <v>146</v>
      </c>
      <c r="B127" s="3" t="s">
        <v>147</v>
      </c>
      <c r="C127" s="4" t="s">
        <v>6</v>
      </c>
      <c r="D127" s="4" t="s">
        <v>7</v>
      </c>
    </row>
    <row r="128" customFormat="false" ht="15" hidden="false" customHeight="false" outlineLevel="0" collapsed="false">
      <c r="A128" s="5" t="s">
        <v>146</v>
      </c>
      <c r="B128" s="3" t="s">
        <v>148</v>
      </c>
      <c r="C128" s="4" t="s">
        <v>6</v>
      </c>
      <c r="D128" s="4" t="s">
        <v>7</v>
      </c>
    </row>
    <row r="129" customFormat="false" ht="15" hidden="false" customHeight="false" outlineLevel="0" collapsed="false">
      <c r="A129" s="5" t="s">
        <v>146</v>
      </c>
      <c r="B129" s="3" t="s">
        <v>149</v>
      </c>
      <c r="C129" s="4" t="s">
        <v>6</v>
      </c>
      <c r="D129" s="4" t="s">
        <v>7</v>
      </c>
    </row>
    <row r="130" customFormat="false" ht="15" hidden="false" customHeight="false" outlineLevel="0" collapsed="false">
      <c r="A130" s="5" t="s">
        <v>146</v>
      </c>
      <c r="B130" s="3" t="s">
        <v>150</v>
      </c>
      <c r="C130" s="4" t="s">
        <v>6</v>
      </c>
      <c r="D130" s="4" t="s">
        <v>7</v>
      </c>
    </row>
    <row r="131" customFormat="false" ht="15" hidden="false" customHeight="false" outlineLevel="0" collapsed="false">
      <c r="A131" s="5" t="s">
        <v>146</v>
      </c>
      <c r="B131" s="3" t="s">
        <v>151</v>
      </c>
      <c r="C131" s="4" t="s">
        <v>6</v>
      </c>
      <c r="D131" s="4" t="s">
        <v>7</v>
      </c>
    </row>
    <row r="132" customFormat="false" ht="15" hidden="false" customHeight="false" outlineLevel="0" collapsed="false">
      <c r="A132" s="5" t="s">
        <v>146</v>
      </c>
      <c r="B132" s="3" t="s">
        <v>152</v>
      </c>
      <c r="C132" s="4" t="s">
        <v>6</v>
      </c>
      <c r="D132" s="4" t="s">
        <v>7</v>
      </c>
    </row>
    <row r="133" customFormat="false" ht="15" hidden="false" customHeight="false" outlineLevel="0" collapsed="false">
      <c r="A133" s="5" t="s">
        <v>146</v>
      </c>
      <c r="B133" s="3" t="s">
        <v>153</v>
      </c>
      <c r="C133" s="4" t="s">
        <v>6</v>
      </c>
      <c r="D133" s="4" t="s">
        <v>7</v>
      </c>
    </row>
    <row r="134" customFormat="false" ht="15" hidden="false" customHeight="false" outlineLevel="0" collapsed="false">
      <c r="A134" s="5" t="s">
        <v>146</v>
      </c>
      <c r="B134" s="3" t="s">
        <v>154</v>
      </c>
      <c r="C134" s="4" t="s">
        <v>6</v>
      </c>
      <c r="D134" s="4" t="s">
        <v>7</v>
      </c>
    </row>
    <row r="135" customFormat="false" ht="15" hidden="false" customHeight="false" outlineLevel="0" collapsed="false">
      <c r="A135" s="5" t="s">
        <v>146</v>
      </c>
      <c r="B135" s="3" t="s">
        <v>155</v>
      </c>
      <c r="C135" s="4" t="s">
        <v>6</v>
      </c>
      <c r="D135" s="4" t="s">
        <v>7</v>
      </c>
    </row>
    <row r="136" customFormat="false" ht="15" hidden="false" customHeight="false" outlineLevel="0" collapsed="false">
      <c r="A136" s="5" t="s">
        <v>146</v>
      </c>
      <c r="B136" s="3" t="s">
        <v>156</v>
      </c>
      <c r="C136" s="4" t="s">
        <v>6</v>
      </c>
      <c r="D136" s="4" t="s">
        <v>7</v>
      </c>
    </row>
    <row r="137" customFormat="false" ht="15" hidden="false" customHeight="false" outlineLevel="0" collapsed="false">
      <c r="A137" s="5" t="s">
        <v>146</v>
      </c>
      <c r="B137" s="3" t="s">
        <v>157</v>
      </c>
      <c r="C137" s="4" t="s">
        <v>6</v>
      </c>
      <c r="D137" s="4" t="s">
        <v>7</v>
      </c>
    </row>
    <row r="138" customFormat="false" ht="15" hidden="false" customHeight="false" outlineLevel="0" collapsed="false">
      <c r="A138" s="5" t="s">
        <v>146</v>
      </c>
      <c r="B138" s="3" t="s">
        <v>158</v>
      </c>
      <c r="C138" s="4" t="s">
        <v>6</v>
      </c>
      <c r="D138" s="4" t="s">
        <v>7</v>
      </c>
    </row>
    <row r="139" customFormat="false" ht="15" hidden="false" customHeight="false" outlineLevel="0" collapsed="false">
      <c r="A139" s="2" t="s">
        <v>159</v>
      </c>
      <c r="B139" s="3" t="s">
        <v>160</v>
      </c>
      <c r="C139" s="4" t="s">
        <v>6</v>
      </c>
      <c r="D139" s="4" t="s">
        <v>7</v>
      </c>
    </row>
    <row r="140" customFormat="false" ht="15" hidden="false" customHeight="false" outlineLevel="0" collapsed="false">
      <c r="A140" s="2" t="s">
        <v>159</v>
      </c>
      <c r="B140" s="3" t="s">
        <v>161</v>
      </c>
      <c r="C140" s="4" t="s">
        <v>6</v>
      </c>
      <c r="D140" s="4" t="s">
        <v>7</v>
      </c>
    </row>
    <row r="141" customFormat="false" ht="15" hidden="false" customHeight="false" outlineLevel="0" collapsed="false">
      <c r="A141" s="2" t="s">
        <v>159</v>
      </c>
      <c r="B141" s="3" t="s">
        <v>162</v>
      </c>
      <c r="C141" s="4" t="s">
        <v>6</v>
      </c>
      <c r="D141" s="4" t="s">
        <v>7</v>
      </c>
    </row>
    <row r="142" customFormat="false" ht="15" hidden="false" customHeight="false" outlineLevel="0" collapsed="false">
      <c r="A142" s="2" t="s">
        <v>159</v>
      </c>
      <c r="B142" s="3" t="s">
        <v>163</v>
      </c>
      <c r="C142" s="4" t="s">
        <v>6</v>
      </c>
      <c r="D142" s="4" t="s">
        <v>7</v>
      </c>
    </row>
    <row r="143" customFormat="false" ht="15" hidden="false" customHeight="false" outlineLevel="0" collapsed="false">
      <c r="A143" s="2" t="s">
        <v>159</v>
      </c>
      <c r="B143" s="3" t="s">
        <v>164</v>
      </c>
      <c r="C143" s="4" t="s">
        <v>6</v>
      </c>
      <c r="D143" s="4" t="s">
        <v>7</v>
      </c>
    </row>
    <row r="144" customFormat="false" ht="15" hidden="false" customHeight="false" outlineLevel="0" collapsed="false">
      <c r="A144" s="2" t="s">
        <v>159</v>
      </c>
      <c r="B144" s="3" t="s">
        <v>165</v>
      </c>
      <c r="C144" s="4" t="s">
        <v>6</v>
      </c>
      <c r="D144" s="4" t="s">
        <v>7</v>
      </c>
    </row>
    <row r="145" customFormat="false" ht="15" hidden="false" customHeight="false" outlineLevel="0" collapsed="false">
      <c r="A145" s="2" t="s">
        <v>159</v>
      </c>
      <c r="B145" s="3" t="s">
        <v>166</v>
      </c>
      <c r="C145" s="4" t="s">
        <v>6</v>
      </c>
      <c r="D145" s="4" t="s">
        <v>7</v>
      </c>
    </row>
    <row r="146" customFormat="false" ht="15" hidden="false" customHeight="false" outlineLevel="0" collapsed="false">
      <c r="A146" s="2" t="s">
        <v>159</v>
      </c>
      <c r="B146" s="3" t="s">
        <v>167</v>
      </c>
      <c r="C146" s="4" t="s">
        <v>6</v>
      </c>
      <c r="D146" s="4" t="s">
        <v>7</v>
      </c>
    </row>
    <row r="147" customFormat="false" ht="15" hidden="false" customHeight="false" outlineLevel="0" collapsed="false">
      <c r="A147" s="2" t="s">
        <v>159</v>
      </c>
      <c r="B147" s="3" t="s">
        <v>168</v>
      </c>
      <c r="C147" s="4" t="s">
        <v>6</v>
      </c>
      <c r="D147" s="4" t="s">
        <v>7</v>
      </c>
    </row>
    <row r="148" customFormat="false" ht="15" hidden="false" customHeight="false" outlineLevel="0" collapsed="false">
      <c r="A148" s="2" t="s">
        <v>159</v>
      </c>
      <c r="B148" s="3" t="s">
        <v>169</v>
      </c>
      <c r="C148" s="4" t="s">
        <v>6</v>
      </c>
      <c r="D148" s="4" t="s">
        <v>7</v>
      </c>
    </row>
    <row r="149" customFormat="false" ht="15" hidden="false" customHeight="false" outlineLevel="0" collapsed="false">
      <c r="A149" s="2" t="s">
        <v>159</v>
      </c>
      <c r="B149" s="3" t="s">
        <v>170</v>
      </c>
      <c r="C149" s="4" t="s">
        <v>6</v>
      </c>
      <c r="D149" s="4" t="s">
        <v>7</v>
      </c>
    </row>
    <row r="150" customFormat="false" ht="15" hidden="false" customHeight="false" outlineLevel="0" collapsed="false">
      <c r="A150" s="2" t="s">
        <v>159</v>
      </c>
      <c r="B150" s="3" t="s">
        <v>171</v>
      </c>
      <c r="C150" s="4" t="s">
        <v>6</v>
      </c>
      <c r="D150" s="4" t="s">
        <v>7</v>
      </c>
    </row>
    <row r="151" customFormat="false" ht="15" hidden="false" customHeight="false" outlineLevel="0" collapsed="false">
      <c r="A151" s="2" t="s">
        <v>159</v>
      </c>
      <c r="B151" s="3" t="s">
        <v>172</v>
      </c>
      <c r="C151" s="4" t="s">
        <v>6</v>
      </c>
      <c r="D151" s="4" t="s">
        <v>7</v>
      </c>
    </row>
    <row r="152" customFormat="false" ht="15" hidden="false" customHeight="false" outlineLevel="0" collapsed="false">
      <c r="A152" s="5" t="s">
        <v>173</v>
      </c>
      <c r="B152" s="3" t="s">
        <v>174</v>
      </c>
      <c r="C152" s="4" t="s">
        <v>6</v>
      </c>
      <c r="D152" s="4" t="s">
        <v>7</v>
      </c>
    </row>
    <row r="153" customFormat="false" ht="15" hidden="false" customHeight="false" outlineLevel="0" collapsed="false">
      <c r="A153" s="5" t="s">
        <v>173</v>
      </c>
      <c r="B153" s="3" t="s">
        <v>175</v>
      </c>
      <c r="C153" s="4" t="s">
        <v>6</v>
      </c>
      <c r="D153" s="4" t="s">
        <v>7</v>
      </c>
    </row>
    <row r="154" customFormat="false" ht="15" hidden="false" customHeight="false" outlineLevel="0" collapsed="false">
      <c r="A154" s="5" t="s">
        <v>173</v>
      </c>
      <c r="B154" s="3" t="s">
        <v>176</v>
      </c>
      <c r="C154" s="4" t="s">
        <v>6</v>
      </c>
      <c r="D154" s="4" t="s">
        <v>7</v>
      </c>
    </row>
    <row r="155" customFormat="false" ht="15" hidden="false" customHeight="false" outlineLevel="0" collapsed="false">
      <c r="A155" s="5" t="s">
        <v>173</v>
      </c>
      <c r="B155" s="3" t="s">
        <v>177</v>
      </c>
      <c r="C155" s="4" t="s">
        <v>6</v>
      </c>
      <c r="D155" s="4" t="s">
        <v>7</v>
      </c>
    </row>
    <row r="156" customFormat="false" ht="15" hidden="false" customHeight="false" outlineLevel="0" collapsed="false">
      <c r="A156" s="5" t="s">
        <v>173</v>
      </c>
      <c r="B156" s="3" t="s">
        <v>178</v>
      </c>
      <c r="C156" s="4" t="s">
        <v>6</v>
      </c>
      <c r="D156" s="4" t="s">
        <v>7</v>
      </c>
    </row>
    <row r="157" customFormat="false" ht="15" hidden="false" customHeight="false" outlineLevel="0" collapsed="false">
      <c r="A157" s="5" t="s">
        <v>173</v>
      </c>
      <c r="B157" s="3" t="s">
        <v>179</v>
      </c>
      <c r="C157" s="4" t="s">
        <v>6</v>
      </c>
      <c r="D157" s="4" t="s">
        <v>7</v>
      </c>
    </row>
    <row r="158" customFormat="false" ht="15" hidden="false" customHeight="false" outlineLevel="0" collapsed="false">
      <c r="A158" s="5" t="s">
        <v>173</v>
      </c>
      <c r="B158" s="3" t="s">
        <v>180</v>
      </c>
      <c r="C158" s="4" t="s">
        <v>6</v>
      </c>
      <c r="D158" s="4" t="s">
        <v>7</v>
      </c>
    </row>
    <row r="159" customFormat="false" ht="15" hidden="false" customHeight="false" outlineLevel="0" collapsed="false">
      <c r="A159" s="5" t="s">
        <v>173</v>
      </c>
      <c r="B159" s="3" t="s">
        <v>181</v>
      </c>
      <c r="C159" s="4" t="s">
        <v>6</v>
      </c>
      <c r="D159" s="4" t="s">
        <v>7</v>
      </c>
    </row>
    <row r="160" customFormat="false" ht="15" hidden="false" customHeight="false" outlineLevel="0" collapsed="false">
      <c r="A160" s="2" t="s">
        <v>182</v>
      </c>
      <c r="B160" s="3" t="s">
        <v>183</v>
      </c>
      <c r="C160" s="4" t="s">
        <v>6</v>
      </c>
      <c r="D160" s="4" t="s">
        <v>7</v>
      </c>
    </row>
    <row r="161" customFormat="false" ht="15" hidden="false" customHeight="false" outlineLevel="0" collapsed="false">
      <c r="A161" s="2" t="s">
        <v>182</v>
      </c>
      <c r="B161" s="3" t="s">
        <v>184</v>
      </c>
      <c r="C161" s="4" t="s">
        <v>6</v>
      </c>
      <c r="D161" s="4" t="s">
        <v>7</v>
      </c>
    </row>
    <row r="162" customFormat="false" ht="15" hidden="false" customHeight="false" outlineLevel="0" collapsed="false">
      <c r="A162" s="2" t="s">
        <v>182</v>
      </c>
      <c r="B162" s="3" t="s">
        <v>185</v>
      </c>
      <c r="C162" s="4" t="s">
        <v>6</v>
      </c>
      <c r="D162" s="4" t="s">
        <v>7</v>
      </c>
    </row>
    <row r="163" customFormat="false" ht="15" hidden="false" customHeight="false" outlineLevel="0" collapsed="false">
      <c r="A163" s="2" t="s">
        <v>182</v>
      </c>
      <c r="B163" s="3" t="s">
        <v>186</v>
      </c>
      <c r="C163" s="4" t="s">
        <v>6</v>
      </c>
      <c r="D163" s="4" t="s">
        <v>7</v>
      </c>
    </row>
    <row r="164" customFormat="false" ht="15" hidden="false" customHeight="false" outlineLevel="0" collapsed="false">
      <c r="A164" s="2" t="s">
        <v>182</v>
      </c>
      <c r="B164" s="3" t="s">
        <v>187</v>
      </c>
      <c r="C164" s="4" t="s">
        <v>6</v>
      </c>
      <c r="D164" s="4" t="s">
        <v>7</v>
      </c>
    </row>
    <row r="165" customFormat="false" ht="15" hidden="false" customHeight="false" outlineLevel="0" collapsed="false">
      <c r="A165" s="2" t="s">
        <v>182</v>
      </c>
      <c r="B165" s="3" t="s">
        <v>188</v>
      </c>
      <c r="C165" s="4" t="s">
        <v>6</v>
      </c>
      <c r="D165" s="4" t="s">
        <v>7</v>
      </c>
    </row>
  </sheetData>
  <autoFilter ref="A1:D165"/>
  <conditionalFormatting sqref="D2:D165">
    <cfRule type="expression" priority="2" aboveAverage="0" equalAverage="0" bottom="0" percent="0" rank="0" text="" dxfId="5">
      <formula>$D2="Sim"</formula>
    </cfRule>
  </conditionalFormatting>
  <conditionalFormatting sqref="A2:D165">
    <cfRule type="expression" priority="3" aboveAverage="0" equalAverage="0" bottom="0" percent="0" rank="0" text="" dxfId="6">
      <formula>$C2="N/A"</formula>
    </cfRule>
  </conditionalFormatting>
  <conditionalFormatting sqref="B2:B165">
    <cfRule type="expression" priority="4" aboveAverage="0" equalAverage="0" bottom="0" percent="0" rank="0" text="" dxfId="7">
      <formula>$D2="Sim"</formula>
    </cfRule>
  </conditionalFormatting>
  <dataValidations count="2">
    <dataValidation allowBlank="false" errorStyle="stop" operator="between" showDropDown="false" showErrorMessage="false" showInputMessage="false" sqref="C2:C165" type="list">
      <formula1>"Sim,Não,N/A"</formula1>
      <formula2>0</formula2>
    </dataValidation>
    <dataValidation allowBlank="false" errorStyle="stop" operator="between" showDropDown="false" showErrorMessage="false" showInputMessage="false" sqref="D2:D165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6" t="s">
        <v>189</v>
      </c>
    </row>
    <row r="2" customFormat="false" ht="15" hidden="false" customHeight="false" outlineLevel="0" collapsed="false">
      <c r="A2" s="7" t="s">
        <v>190</v>
      </c>
    </row>
    <row r="4" customFormat="false" ht="15" hidden="false" customHeight="false" outlineLevel="0" collapsed="false">
      <c r="A4" s="8" t="s">
        <v>0</v>
      </c>
      <c r="B4" s="8" t="s">
        <v>191</v>
      </c>
      <c r="C4" s="8" t="s">
        <v>192</v>
      </c>
      <c r="D4" s="8" t="s">
        <v>193</v>
      </c>
      <c r="E4" s="8" t="s">
        <v>194</v>
      </c>
    </row>
    <row r="5" customFormat="false" ht="15" hidden="false" customHeight="false" outlineLevel="0" collapsed="false">
      <c r="A5" s="9" t="s">
        <v>4</v>
      </c>
      <c r="B5" s="10" t="n">
        <f aca="false">COUNTIF(Checklist!$A$2:$A$165,A5)</f>
        <v>13</v>
      </c>
      <c r="C5" s="10" t="n">
        <f aca="false">COUNTIFS(Checklist!$A$2:$A$165,A5,Checklist!$C$2:$C$165,"Sim")</f>
        <v>13</v>
      </c>
      <c r="D5" s="10" t="n">
        <f aca="false">COUNTIFS(Checklist!$A$2:$A$165,A5,Checklist!$C$2:$C$165,"Sim",Checklist!$D$2:$D$165,"Sim")</f>
        <v>0</v>
      </c>
      <c r="E5" s="11" t="n">
        <f aca="false">IF(C5=0,0,D5/C5)</f>
        <v>0</v>
      </c>
    </row>
    <row r="6" customFormat="false" ht="15" hidden="false" customHeight="false" outlineLevel="0" collapsed="false">
      <c r="A6" s="9" t="s">
        <v>20</v>
      </c>
      <c r="B6" s="10" t="n">
        <f aca="false">COUNTIF(Checklist!$A$2:$A$165,A6)</f>
        <v>8</v>
      </c>
      <c r="C6" s="10" t="n">
        <f aca="false">COUNTIFS(Checklist!$A$2:$A$165,A6,Checklist!$C$2:$C$165,"Sim")</f>
        <v>8</v>
      </c>
      <c r="D6" s="10" t="n">
        <f aca="false">COUNTIFS(Checklist!$A$2:$A$165,A6,Checklist!$C$2:$C$165,"Sim",Checklist!$D$2:$D$165,"Sim")</f>
        <v>0</v>
      </c>
      <c r="E6" s="11" t="n">
        <f aca="false">IF(C6=0,0,D6/C6)</f>
        <v>0</v>
      </c>
    </row>
    <row r="7" customFormat="false" ht="15" hidden="false" customHeight="false" outlineLevel="0" collapsed="false">
      <c r="A7" s="9" t="s">
        <v>29</v>
      </c>
      <c r="B7" s="10" t="n">
        <f aca="false">COUNTIF(Checklist!$A$2:$A$165,A7)</f>
        <v>9</v>
      </c>
      <c r="C7" s="10" t="n">
        <f aca="false">COUNTIFS(Checklist!$A$2:$A$165,A7,Checklist!$C$2:$C$165,"Sim")</f>
        <v>9</v>
      </c>
      <c r="D7" s="10" t="n">
        <f aca="false">COUNTIFS(Checklist!$A$2:$A$165,A7,Checklist!$C$2:$C$165,"Sim",Checklist!$D$2:$D$165,"Sim")</f>
        <v>0</v>
      </c>
      <c r="E7" s="11" t="n">
        <f aca="false">IF(C7=0,0,D7/C7)</f>
        <v>0</v>
      </c>
    </row>
    <row r="8" customFormat="false" ht="15" hidden="false" customHeight="false" outlineLevel="0" collapsed="false">
      <c r="A8" s="9" t="s">
        <v>39</v>
      </c>
      <c r="B8" s="10" t="n">
        <f aca="false">COUNTIF(Checklist!$A$2:$A$165,A8)</f>
        <v>12</v>
      </c>
      <c r="C8" s="10" t="n">
        <f aca="false">COUNTIFS(Checklist!$A$2:$A$165,A8,Checklist!$C$2:$C$165,"Sim")</f>
        <v>12</v>
      </c>
      <c r="D8" s="10" t="n">
        <f aca="false">COUNTIFS(Checklist!$A$2:$A$165,A8,Checklist!$C$2:$C$165,"Sim",Checklist!$D$2:$D$165,"Sim")</f>
        <v>0</v>
      </c>
      <c r="E8" s="11" t="n">
        <f aca="false">IF(C8=0,0,D8/C8)</f>
        <v>0</v>
      </c>
    </row>
    <row r="9" customFormat="false" ht="15" hidden="false" customHeight="false" outlineLevel="0" collapsed="false">
      <c r="A9" s="9" t="s">
        <v>52</v>
      </c>
      <c r="B9" s="10" t="n">
        <f aca="false">COUNTIF(Checklist!$A$2:$A$165,A9)</f>
        <v>7</v>
      </c>
      <c r="C9" s="10" t="n">
        <f aca="false">COUNTIFS(Checklist!$A$2:$A$165,A9,Checklist!$C$2:$C$165,"Sim")</f>
        <v>7</v>
      </c>
      <c r="D9" s="10" t="n">
        <f aca="false">COUNTIFS(Checklist!$A$2:$A$165,A9,Checklist!$C$2:$C$165,"Sim",Checklist!$D$2:$D$165,"Sim")</f>
        <v>0</v>
      </c>
      <c r="E9" s="11" t="n">
        <f aca="false">IF(C9=0,0,D9/C9)</f>
        <v>0</v>
      </c>
    </row>
    <row r="10" customFormat="false" ht="15" hidden="false" customHeight="false" outlineLevel="0" collapsed="false">
      <c r="A10" s="9" t="s">
        <v>60</v>
      </c>
      <c r="B10" s="10" t="n">
        <f aca="false">COUNTIF(Checklist!$A$2:$A$165,A10)</f>
        <v>6</v>
      </c>
      <c r="C10" s="10" t="n">
        <f aca="false">COUNTIFS(Checklist!$A$2:$A$165,A10,Checklist!$C$2:$C$165,"Sim")</f>
        <v>6</v>
      </c>
      <c r="D10" s="10" t="n">
        <f aca="false">COUNTIFS(Checklist!$A$2:$A$165,A10,Checklist!$C$2:$C$165,"Sim",Checklist!$D$2:$D$165,"Sim")</f>
        <v>0</v>
      </c>
      <c r="E10" s="11" t="n">
        <f aca="false">IF(C10=0,0,D10/C10)</f>
        <v>0</v>
      </c>
    </row>
    <row r="11" customFormat="false" ht="15" hidden="false" customHeight="false" outlineLevel="0" collapsed="false">
      <c r="A11" s="9" t="s">
        <v>67</v>
      </c>
      <c r="B11" s="10" t="n">
        <f aca="false">COUNTIF(Checklist!$A$2:$A$165,A11)</f>
        <v>6</v>
      </c>
      <c r="C11" s="10" t="n">
        <f aca="false">COUNTIFS(Checklist!$A$2:$A$165,A11,Checklist!$C$2:$C$165,"Sim")</f>
        <v>6</v>
      </c>
      <c r="D11" s="10" t="n">
        <f aca="false">COUNTIFS(Checklist!$A$2:$A$165,A11,Checklist!$C$2:$C$165,"Sim",Checklist!$D$2:$D$165,"Sim")</f>
        <v>0</v>
      </c>
      <c r="E11" s="11" t="n">
        <f aca="false">IF(C11=0,0,D11/C11)</f>
        <v>0</v>
      </c>
    </row>
    <row r="12" customFormat="false" ht="15" hidden="false" customHeight="false" outlineLevel="0" collapsed="false">
      <c r="A12" s="9" t="s">
        <v>74</v>
      </c>
      <c r="B12" s="10" t="n">
        <f aca="false">COUNTIF(Checklist!$A$2:$A$165,A12)</f>
        <v>8</v>
      </c>
      <c r="C12" s="10" t="n">
        <f aca="false">COUNTIFS(Checklist!$A$2:$A$165,A12,Checklist!$C$2:$C$165,"Sim")</f>
        <v>8</v>
      </c>
      <c r="D12" s="10" t="n">
        <f aca="false">COUNTIFS(Checklist!$A$2:$A$165,A12,Checklist!$C$2:$C$165,"Sim",Checklist!$D$2:$D$165,"Sim")</f>
        <v>0</v>
      </c>
      <c r="E12" s="11" t="n">
        <f aca="false">IF(C12=0,0,D12/C12)</f>
        <v>0</v>
      </c>
    </row>
    <row r="13" customFormat="false" ht="15" hidden="false" customHeight="false" outlineLevel="0" collapsed="false">
      <c r="A13" s="9" t="s">
        <v>83</v>
      </c>
      <c r="B13" s="10" t="n">
        <f aca="false">COUNTIF(Checklist!$A$2:$A$165,A13)</f>
        <v>7</v>
      </c>
      <c r="C13" s="10" t="n">
        <f aca="false">COUNTIFS(Checklist!$A$2:$A$165,A13,Checklist!$C$2:$C$165,"Sim")</f>
        <v>7</v>
      </c>
      <c r="D13" s="10" t="n">
        <f aca="false">COUNTIFS(Checklist!$A$2:$A$165,A13,Checklist!$C$2:$C$165,"Sim",Checklist!$D$2:$D$165,"Sim")</f>
        <v>0</v>
      </c>
      <c r="E13" s="11" t="n">
        <f aca="false">IF(C13=0,0,D13/C13)</f>
        <v>0</v>
      </c>
    </row>
    <row r="14" customFormat="false" ht="15" hidden="false" customHeight="false" outlineLevel="0" collapsed="false">
      <c r="A14" s="9" t="s">
        <v>91</v>
      </c>
      <c r="B14" s="10" t="n">
        <f aca="false">COUNTIF(Checklist!$A$2:$A$165,A14)</f>
        <v>6</v>
      </c>
      <c r="C14" s="10" t="n">
        <f aca="false">COUNTIFS(Checklist!$A$2:$A$165,A14,Checklist!$C$2:$C$165,"Sim")</f>
        <v>6</v>
      </c>
      <c r="D14" s="10" t="n">
        <f aca="false">COUNTIFS(Checklist!$A$2:$A$165,A14,Checklist!$C$2:$C$165,"Sim",Checklist!$D$2:$D$165,"Sim")</f>
        <v>0</v>
      </c>
      <c r="E14" s="11" t="n">
        <f aca="false">IF(C14=0,0,D14/C14)</f>
        <v>0</v>
      </c>
    </row>
    <row r="15" customFormat="false" ht="15" hidden="false" customHeight="false" outlineLevel="0" collapsed="false">
      <c r="A15" s="9" t="s">
        <v>98</v>
      </c>
      <c r="B15" s="10" t="n">
        <f aca="false">COUNTIF(Checklist!$A$2:$A$165,A15)</f>
        <v>11</v>
      </c>
      <c r="C15" s="10" t="n">
        <f aca="false">COUNTIFS(Checklist!$A$2:$A$165,A15,Checklist!$C$2:$C$165,"Sim")</f>
        <v>11</v>
      </c>
      <c r="D15" s="10" t="n">
        <f aca="false">COUNTIFS(Checklist!$A$2:$A$165,A15,Checklist!$C$2:$C$165,"Sim",Checklist!$D$2:$D$165,"Sim")</f>
        <v>0</v>
      </c>
      <c r="E15" s="11" t="n">
        <f aca="false">IF(C15=0,0,D15/C15)</f>
        <v>0</v>
      </c>
    </row>
    <row r="16" customFormat="false" ht="15" hidden="false" customHeight="false" outlineLevel="0" collapsed="false">
      <c r="A16" s="9" t="s">
        <v>110</v>
      </c>
      <c r="B16" s="10" t="n">
        <f aca="false">COUNTIF(Checklist!$A$2:$A$165,A16)</f>
        <v>10</v>
      </c>
      <c r="C16" s="10" t="n">
        <f aca="false">COUNTIFS(Checklist!$A$2:$A$165,A16,Checklist!$C$2:$C$165,"Sim")</f>
        <v>10</v>
      </c>
      <c r="D16" s="10" t="n">
        <f aca="false">COUNTIFS(Checklist!$A$2:$A$165,A16,Checklist!$C$2:$C$165,"Sim",Checklist!$D$2:$D$165,"Sim")</f>
        <v>0</v>
      </c>
      <c r="E16" s="11" t="n">
        <f aca="false">IF(C16=0,0,D16/C16)</f>
        <v>0</v>
      </c>
    </row>
    <row r="17" customFormat="false" ht="15" hidden="false" customHeight="false" outlineLevel="0" collapsed="false">
      <c r="A17" s="9" t="s">
        <v>121</v>
      </c>
      <c r="B17" s="10" t="n">
        <f aca="false">COUNTIF(Checklist!$A$2:$A$165,A17)</f>
        <v>6</v>
      </c>
      <c r="C17" s="10" t="n">
        <f aca="false">COUNTIFS(Checklist!$A$2:$A$165,A17,Checklist!$C$2:$C$165,"Sim")</f>
        <v>6</v>
      </c>
      <c r="D17" s="10" t="n">
        <f aca="false">COUNTIFS(Checklist!$A$2:$A$165,A17,Checklist!$C$2:$C$165,"Sim",Checklist!$D$2:$D$165,"Sim")</f>
        <v>0</v>
      </c>
      <c r="E17" s="11" t="n">
        <f aca="false">IF(C17=0,0,D17/C17)</f>
        <v>0</v>
      </c>
    </row>
    <row r="18" customFormat="false" ht="15" hidden="false" customHeight="false" outlineLevel="0" collapsed="false">
      <c r="A18" s="9" t="s">
        <v>128</v>
      </c>
      <c r="B18" s="10" t="n">
        <f aca="false">COUNTIF(Checklist!$A$2:$A$165,A18)</f>
        <v>9</v>
      </c>
      <c r="C18" s="10" t="n">
        <f aca="false">COUNTIFS(Checklist!$A$2:$A$165,A18,Checklist!$C$2:$C$165,"Sim")</f>
        <v>9</v>
      </c>
      <c r="D18" s="10" t="n">
        <f aca="false">COUNTIFS(Checklist!$A$2:$A$165,A18,Checklist!$C$2:$C$165,"Sim",Checklist!$D$2:$D$165,"Sim")</f>
        <v>0</v>
      </c>
      <c r="E18" s="11" t="n">
        <f aca="false">IF(C18=0,0,D18/C18)</f>
        <v>0</v>
      </c>
    </row>
    <row r="19" customFormat="false" ht="15" hidden="false" customHeight="false" outlineLevel="0" collapsed="false">
      <c r="A19" s="9" t="s">
        <v>138</v>
      </c>
      <c r="B19" s="10" t="n">
        <f aca="false">COUNTIF(Checklist!$A$2:$A$165,A19)</f>
        <v>7</v>
      </c>
      <c r="C19" s="10" t="n">
        <f aca="false">COUNTIFS(Checklist!$A$2:$A$165,A19,Checklist!$C$2:$C$165,"Sim")</f>
        <v>7</v>
      </c>
      <c r="D19" s="10" t="n">
        <f aca="false">COUNTIFS(Checklist!$A$2:$A$165,A19,Checklist!$C$2:$C$165,"Sim",Checklist!$D$2:$D$165,"Sim")</f>
        <v>0</v>
      </c>
      <c r="E19" s="11" t="n">
        <f aca="false">IF(C19=0,0,D19/C19)</f>
        <v>0</v>
      </c>
    </row>
    <row r="20" customFormat="false" ht="15" hidden="false" customHeight="false" outlineLevel="0" collapsed="false">
      <c r="A20" s="9" t="s">
        <v>146</v>
      </c>
      <c r="B20" s="10" t="n">
        <f aca="false">COUNTIF(Checklist!$A$2:$A$165,A20)</f>
        <v>12</v>
      </c>
      <c r="C20" s="10" t="n">
        <f aca="false">COUNTIFS(Checklist!$A$2:$A$165,A20,Checklist!$C$2:$C$165,"Sim")</f>
        <v>12</v>
      </c>
      <c r="D20" s="10" t="n">
        <f aca="false">COUNTIFS(Checklist!$A$2:$A$165,A20,Checklist!$C$2:$C$165,"Sim",Checklist!$D$2:$D$165,"Sim")</f>
        <v>0</v>
      </c>
      <c r="E20" s="11" t="n">
        <f aca="false">IF(C20=0,0,D20/C20)</f>
        <v>0</v>
      </c>
    </row>
    <row r="21" customFormat="false" ht="15" hidden="false" customHeight="false" outlineLevel="0" collapsed="false">
      <c r="A21" s="9" t="s">
        <v>159</v>
      </c>
      <c r="B21" s="10" t="n">
        <f aca="false">COUNTIF(Checklist!$A$2:$A$165,A21)</f>
        <v>13</v>
      </c>
      <c r="C21" s="10" t="n">
        <f aca="false">COUNTIFS(Checklist!$A$2:$A$165,A21,Checklist!$C$2:$C$165,"Sim")</f>
        <v>13</v>
      </c>
      <c r="D21" s="10" t="n">
        <f aca="false">COUNTIFS(Checklist!$A$2:$A$165,A21,Checklist!$C$2:$C$165,"Sim",Checklist!$D$2:$D$165,"Sim")</f>
        <v>0</v>
      </c>
      <c r="E21" s="11" t="n">
        <f aca="false">IF(C21=0,0,D21/C21)</f>
        <v>0</v>
      </c>
    </row>
    <row r="22" customFormat="false" ht="15" hidden="false" customHeight="false" outlineLevel="0" collapsed="false">
      <c r="A22" s="9" t="s">
        <v>173</v>
      </c>
      <c r="B22" s="10" t="n">
        <f aca="false">COUNTIF(Checklist!$A$2:$A$165,A22)</f>
        <v>8</v>
      </c>
      <c r="C22" s="10" t="n">
        <f aca="false">COUNTIFS(Checklist!$A$2:$A$165,A22,Checklist!$C$2:$C$165,"Sim")</f>
        <v>8</v>
      </c>
      <c r="D22" s="10" t="n">
        <f aca="false">COUNTIFS(Checklist!$A$2:$A$165,A22,Checklist!$C$2:$C$165,"Sim",Checklist!$D$2:$D$165,"Sim")</f>
        <v>0</v>
      </c>
      <c r="E22" s="11" t="n">
        <f aca="false">IF(C22=0,0,D22/C22)</f>
        <v>0</v>
      </c>
    </row>
    <row r="23" customFormat="false" ht="15" hidden="false" customHeight="false" outlineLevel="0" collapsed="false">
      <c r="A23" s="9" t="s">
        <v>182</v>
      </c>
      <c r="B23" s="10" t="n">
        <f aca="false">COUNTIF(Checklist!$A$2:$A$165,A23)</f>
        <v>6</v>
      </c>
      <c r="C23" s="10" t="n">
        <f aca="false">COUNTIFS(Checklist!$A$2:$A$165,A23,Checklist!$C$2:$C$165,"Sim")</f>
        <v>6</v>
      </c>
      <c r="D23" s="10" t="n">
        <f aca="false">COUNTIFS(Checklist!$A$2:$A$165,A23,Checklist!$C$2:$C$165,"Sim",Checklist!$D$2:$D$165,"Sim")</f>
        <v>0</v>
      </c>
      <c r="E23" s="11" t="n">
        <f aca="false">IF(C23=0,0,D23/C23)</f>
        <v>0</v>
      </c>
    </row>
    <row r="24" customFormat="false" ht="15" hidden="false" customHeight="false" outlineLevel="0" collapsed="false">
      <c r="A24" s="12" t="s">
        <v>195</v>
      </c>
      <c r="B24" s="13" t="n">
        <f aca="false">SUM(B5:B23)</f>
        <v>164</v>
      </c>
      <c r="C24" s="13" t="n">
        <f aca="false">SUM(C5:C23)</f>
        <v>164</v>
      </c>
      <c r="D24" s="13" t="n">
        <f aca="false">SUM(D5:D23)</f>
        <v>0</v>
      </c>
      <c r="E24" s="14" t="n">
        <f aca="false">IF(C24=0,0,D24/C24)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5" t="s">
        <v>196</v>
      </c>
    </row>
    <row r="2" customFormat="false" ht="15" hidden="false" customHeight="false" outlineLevel="0" collapsed="false">
      <c r="A2" s="16" t="s">
        <v>197</v>
      </c>
    </row>
    <row r="3" customFormat="false" ht="15" hidden="false" customHeight="false" outlineLevel="0" collapsed="false">
      <c r="A3" s="16"/>
    </row>
    <row r="4" customFormat="false" ht="15" hidden="false" customHeight="false" outlineLevel="0" collapsed="false">
      <c r="A4" s="15" t="s">
        <v>198</v>
      </c>
    </row>
    <row r="5" customFormat="false" ht="15" hidden="false" customHeight="false" outlineLevel="0" collapsed="false">
      <c r="A5" s="16" t="s">
        <v>199</v>
      </c>
    </row>
    <row r="6" customFormat="false" ht="15" hidden="false" customHeight="false" outlineLevel="0" collapsed="false">
      <c r="A6" s="16" t="s">
        <v>200</v>
      </c>
    </row>
    <row r="7" customFormat="false" ht="15" hidden="false" customHeight="false" outlineLevel="0" collapsed="false">
      <c r="A7" s="16" t="s">
        <v>201</v>
      </c>
    </row>
    <row r="8" customFormat="false" ht="15" hidden="false" customHeight="false" outlineLevel="0" collapsed="false">
      <c r="A8" s="16" t="s">
        <v>202</v>
      </c>
    </row>
    <row r="9" customFormat="false" ht="15" hidden="false" customHeight="false" outlineLevel="0" collapsed="false">
      <c r="A9" s="16"/>
    </row>
    <row r="10" customFormat="false" ht="15" hidden="false" customHeight="false" outlineLevel="0" collapsed="false">
      <c r="A10" s="16" t="s">
        <v>203</v>
      </c>
    </row>
    <row r="11" customFormat="false" ht="15" hidden="false" customHeight="false" outlineLevel="0" collapsed="false">
      <c r="A11" s="16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2026-10-15T14:28:11Z</dcterms:created>
  <dc:creator>openpyxl</dc:creator>
  <dc:description/>
  <dc:language>en-US</dc:language>
  <cp:lastModifiedBy/>
  <dcterms:modified xsi:type="dcterms:W3CDTF">2026-10-15T14:28:11Z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